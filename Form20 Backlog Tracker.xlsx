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(Not in DB)" sheetId="1" r:id="rId5"/>
    <sheet state="visible" name="Pivot Table 1" sheetId="2" r:id="rId6"/>
    <sheet state="visible" name="Form 20 Status SIR States" sheetId="3" r:id="rId7"/>
    <sheet state="visible" name="25th May" sheetId="4" r:id="rId8"/>
    <sheet state="visible" name="Sheet5" sheetId="5" r:id="rId9"/>
    <sheet state="visible" name="SIR States" sheetId="6" r:id="rId10"/>
    <sheet state="hidden" name="Latest El Year" sheetId="7" r:id="rId11"/>
    <sheet state="visible" name="Query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<sst xmlns="http://schemas.openxmlformats.org/spreadsheetml/2006/main" count="1845" uniqueCount="95">
  <si>
    <t>State</t>
  </si>
  <si>
    <t>El Type</t>
  </si>
  <si>
    <t>El Year</t>
  </si>
  <si>
    <t>Key</t>
  </si>
  <si>
    <t>SIR States</t>
  </si>
  <si>
    <t>WIP(Yes/No)</t>
  </si>
  <si>
    <t>RemarK</t>
  </si>
  <si>
    <t xml:space="preserve"> </t>
  </si>
  <si>
    <t>DB Status</t>
  </si>
  <si>
    <t>Varahe</t>
  </si>
  <si>
    <t>Tracker Updated Date</t>
  </si>
  <si>
    <t>25-05-2026</t>
  </si>
  <si>
    <t>DL</t>
  </si>
  <si>
    <t>AE</t>
  </si>
  <si>
    <t>JK</t>
  </si>
  <si>
    <t>MP</t>
  </si>
  <si>
    <t>MZ</t>
  </si>
  <si>
    <t>AP</t>
  </si>
  <si>
    <t>AE-BP</t>
  </si>
  <si>
    <t>TR</t>
  </si>
  <si>
    <t>AN</t>
  </si>
  <si>
    <t>GE</t>
  </si>
  <si>
    <t>GE-BP</t>
  </si>
  <si>
    <t>AR</t>
  </si>
  <si>
    <t>DD</t>
  </si>
  <si>
    <t>DN</t>
  </si>
  <si>
    <t>AS</t>
  </si>
  <si>
    <t>GJ</t>
  </si>
  <si>
    <t>BR</t>
  </si>
  <si>
    <t>CT</t>
  </si>
  <si>
    <t>JH</t>
  </si>
  <si>
    <t>LA</t>
  </si>
  <si>
    <t>LD</t>
  </si>
  <si>
    <t>ML</t>
  </si>
  <si>
    <t>MN</t>
  </si>
  <si>
    <t>NL</t>
  </si>
  <si>
    <t>SK</t>
  </si>
  <si>
    <t>GA</t>
  </si>
  <si>
    <t>TS</t>
  </si>
  <si>
    <t>WB</t>
  </si>
  <si>
    <t>HP</t>
  </si>
  <si>
    <t>HR</t>
  </si>
  <si>
    <t>KA</t>
  </si>
  <si>
    <t>KL</t>
  </si>
  <si>
    <t>MH</t>
  </si>
  <si>
    <t>OR</t>
  </si>
  <si>
    <t>PB</t>
  </si>
  <si>
    <t>PY</t>
  </si>
  <si>
    <t>RJ</t>
  </si>
  <si>
    <t>TN</t>
  </si>
  <si>
    <t>UK</t>
  </si>
  <si>
    <t>UP</t>
  </si>
  <si>
    <t>COUNTA of El Year</t>
  </si>
  <si>
    <t>AC Count</t>
  </si>
  <si>
    <t>Grand Total</t>
  </si>
  <si>
    <t>El_Type</t>
  </si>
  <si>
    <t>Latest El_year</t>
  </si>
  <si>
    <t>Status</t>
  </si>
  <si>
    <t>Remark</t>
  </si>
  <si>
    <t>Yes</t>
  </si>
  <si>
    <t>New target</t>
  </si>
  <si>
    <t>form20</t>
  </si>
  <si>
    <t xml:space="preserve">RJ </t>
  </si>
  <si>
    <t>Booth data</t>
  </si>
  <si>
    <t>CG</t>
  </si>
  <si>
    <t>States</t>
  </si>
  <si>
    <t xml:space="preserve">State </t>
  </si>
  <si>
    <t>Not available</t>
  </si>
  <si>
    <t>extracting excel</t>
  </si>
  <si>
    <t>Not In DB</t>
  </si>
  <si>
    <t>Completed</t>
  </si>
  <si>
    <t>IN DB</t>
  </si>
  <si>
    <t>Available</t>
  </si>
  <si>
    <t>completed</t>
  </si>
  <si>
    <t xml:space="preserve"> in DB</t>
  </si>
  <si>
    <t>deo</t>
  </si>
  <si>
    <t xml:space="preserve"> In DB</t>
  </si>
  <si>
    <t>with t1 as</t>
  </si>
  <si>
    <t>(SELECT</t>
  </si>
  <si>
    <t>aem.state_abb AS ST,</t>
  </si>
  <si>
    <t>TO_CHAR(aem.el_year, 'FM9999') AS el_year,</t>
  </si>
  <si>
    <t>aem.el_type,</t>
  </si>
  <si>
    <t>COUNT(DISTINCT ac_no) AS No_of_ACS,</t>
  </si>
  <si>
    <t>aem.state_abb || '-' || aem.el_type || '-' || aem.el_year AS AKEY</t>
  </si>
  <si>
    <t>FROM ac_election_mapping aem</t>
  </si>
  <si>
    <t>GROUP BY aem.state_abb, aem.el_year, aem.el_type),</t>
  </si>
  <si>
    <t>t2 as</t>
  </si>
  <si>
    <t>(select f.state_abb || '-' || e.el_type || '-' || e.el_year AS fKEY, count(f.ac_no) as no_acs</t>
  </si>
  <si>
    <t>from form_20 f</t>
  </si>
  <si>
    <t>left join election e ON e.el_id = f.el_id</t>
  </si>
  <si>
    <t>group by fKEY)</t>
  </si>
  <si>
    <t>select t1.st,t1.el_type,t1.el_year,t1.no_of_Acs as ACs_Count from t1</t>
  </si>
  <si>
    <t>left join t2 on t1.AKEY=t2.FKEY</t>
  </si>
  <si>
    <t>where fkey is null</t>
  </si>
  <si>
    <t>order by t1.st,t1.el_type asc, t1.el_year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</si>
</sst>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8">
    <font>
      <sz val="10.0"/>
      <color rgb="FF000000"/>
      <name val="Arial"/>
      <scheme val="minor"/>
    </font>
    <font>
      <b/>
      <sz val="13.0"/>
      <color theme="1"/>
      <name val="EB Garamond"/>
    </font>
    <font>
      <color theme="1"/>
      <name val="Arial"/>
      <scheme val="minor"/>
    </font>
    <font>
      <sz val="13.0"/>
      <color theme="1"/>
      <name val="EB Garamond"/>
    </font>
    <font>
      <sz val="14.0"/>
      <color theme="1"/>
      <name val="EB Garamond"/>
    </font>
    <font>
      <b/>
      <sz val="15.0"/>
      <color theme="1"/>
      <name val="EB Garamond"/>
    </font>
    <font>
      <sz val="15.0"/>
      <color theme="1"/>
      <name val="EB Garamond"/>
    </font>
    <font>
      <b/>
      <sz val="14.0"/>
      <color theme="1"/>
      <name val="EB Garamond"/>
    </font>
    <font>
      <b/>
      <sz val="12.0"/>
      <color theme="1"/>
      <name val="EB Garamond"/>
    </font>
    <font>
      <b/>
      <sz val="16.0"/>
      <color theme="1"/>
      <name val="EB Garamond"/>
    </font>
    <font>
      <sz val="16.0"/>
      <color theme="1"/>
      <name val="EB Garamond"/>
    </font>
    <font>
      <color theme="1"/>
      <name val="Arial"/>
    </font>
    <font>
      <b/>
      <color rgb="FF800000"/>
      <name val="&quot;Consolas&quot;"/>
    </font>
    <font>
      <b/>
      <i/>
      <color rgb="FF006464"/>
      <name val="&quot;Consolas&quot;"/>
    </font>
    <font>
      <b/>
      <i/>
      <color rgb="FF8E00C6"/>
      <name val="&quot;Consolas&quot;"/>
    </font>
    <font>
      <b/>
      <i/>
      <color rgb="FF800000"/>
      <name val="&quot;Consolas&quot;"/>
    </font>
    <font>
      <b/>
      <i/>
      <color rgb="FF000000"/>
      <name val="&quot;Consolas&quot;"/>
    </font>
    <font>
      <b/>
      <i/>
      <color rgb="FFFF3737"/>
      <name val="&quot;Consolas&quot;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/>
    </xf>
    <xf borderId="0" fillId="6" fontId="7" numFmtId="0" xfId="0" applyAlignment="1" applyFill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2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1" fillId="7" fontId="7" numFmtId="0" xfId="0" applyAlignment="1" applyBorder="1" applyFill="1" applyFont="1">
      <alignment horizontal="center" vertical="bottom"/>
    </xf>
    <xf borderId="0" fillId="0" fontId="11" numFmtId="0" xfId="0" applyAlignment="1" applyFont="1">
      <alignment vertical="bottom"/>
    </xf>
    <xf borderId="1" fillId="8" fontId="3" numFmtId="0" xfId="0" applyAlignment="1" applyBorder="1" applyFill="1" applyFont="1">
      <alignment horizontal="center" vertical="bottom"/>
    </xf>
    <xf borderId="1" fillId="9" fontId="4" numFmtId="0" xfId="0" applyAlignment="1" applyBorder="1" applyFill="1" applyFont="1">
      <alignment horizontal="center" vertical="bottom"/>
    </xf>
    <xf borderId="1" fillId="10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11" fontId="3" numFmtId="0" xfId="0" applyAlignment="1" applyBorder="1" applyFill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11" fontId="12" numFmtId="0" xfId="0" applyAlignment="1" applyFont="1">
      <alignment readingOrder="0"/>
    </xf>
    <xf borderId="0" fillId="11" fontId="13" numFmtId="0" xfId="0" applyAlignment="1" applyFont="1">
      <alignment readingOrder="0"/>
    </xf>
    <xf borderId="0" fillId="11" fontId="14" numFmtId="0" xfId="0" applyAlignment="1" applyFont="1">
      <alignment readingOrder="0"/>
    </xf>
    <xf borderId="0" fillId="11" fontId="13" numFmtId="0" xfId="0" applyFont="1"/>
    <xf borderId="0" fillId="11" fontId="15" numFmtId="0" xfId="0" applyAlignment="1" applyFont="1">
      <alignment readingOrder="0"/>
    </xf>
    <xf borderId="0" fillId="11" fontId="16" numFmtId="0" xfId="0" applyAlignment="1" applyFont="1">
      <alignment readingOrder="0"/>
    </xf>
    <xf borderId="0" fillId="11" fontId="16" numFmtId="0" xfId="0" applyFont="1"/>
    <xf borderId="0" fillId="11" fontId="1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57" sheet="Tracker(Not in DB)"/>
  </cacheSource>
  <cacheFields>
    <cacheField name="State" numFmtId="0">
      <sharedItems containsBlank="1">
        <s v="DL"/>
        <s v="JK"/>
        <s v="MP"/>
        <s v="MZ"/>
        <s v="AP"/>
        <s v="TR"/>
        <s v="AN"/>
        <s v="AR"/>
        <s v="DD"/>
        <s v="DN"/>
        <s v="AS"/>
        <s v="GJ"/>
        <s v="BR"/>
        <s v="CT"/>
        <s v="JH"/>
        <s v="LA"/>
        <s v="LD"/>
        <s v="ML"/>
        <s v="MN"/>
        <s v="NL"/>
        <s v="SK"/>
        <s v="GA"/>
        <s v="TS"/>
        <s v="WB"/>
        <s v="HP"/>
        <s v="HR"/>
        <s v="KA"/>
        <s v="KL"/>
        <s v="MH"/>
        <s v="OR"/>
        <s v="PB"/>
        <s v="PY"/>
        <s v="RJ"/>
        <s v="TN"/>
        <s v="UK"/>
        <s v="UP"/>
        <m/>
      </sharedItems>
    </cacheField>
    <cacheField name="El Type" numFmtId="0">
      <sharedItems containsBlank="1">
        <s v="AE"/>
        <s v="AE-BP"/>
        <s v="GE"/>
        <s v="GE-BP"/>
        <m/>
      </sharedItems>
    </cacheField>
    <cacheField name="El Year" numFmtId="0">
      <sharedItems containsString="0" containsBlank="1" containsNumber="1" containsInteger="1">
        <n v="2008.0"/>
        <n v="2022.0"/>
        <n v="2021.0"/>
        <n v="2017.0"/>
        <n v="2015.0"/>
        <n v="2014.0"/>
        <n v="2012.0"/>
        <n v="2011.0"/>
        <n v="2010.0"/>
        <n v="2009.0"/>
        <n v="2023.0"/>
        <n v="2019.0"/>
        <n v="2016.0"/>
        <n v="2013.0"/>
        <n v="2024.0"/>
        <n v="2018.0"/>
        <n v="2020.0"/>
        <n v="2025.0"/>
        <m/>
      </sharedItems>
    </cacheField>
    <cacheField name="Key" numFmtId="0">
      <sharedItems containsBlank="1">
        <s v="DL-AE-2008"/>
        <s v="JK-AE-2008"/>
        <s v="MP-AE-2008"/>
        <s v="MZ-AE-2008"/>
        <s v="AP-AE-BP-2022"/>
        <s v="AP-AE-BP-2021"/>
        <s v="AP-AE-BP-2017"/>
        <s v="AP-AE-BP-2015"/>
        <s v="AP-AE-BP-2014"/>
        <s v="AP-AE-BP-2012"/>
        <s v="AP-AE-BP-2011"/>
        <s v="AP-AE-BP-2010"/>
        <s v="TR-AE-2008"/>
        <s v="AN-GE-2009"/>
        <s v="AP-GE-BP-2021"/>
        <s v="AP-GE-BP-2012"/>
        <s v="AP-GE-BP-2011"/>
        <s v="AP-AE-2009"/>
        <s v="AP-GE-2009"/>
        <s v="AR-AE-2009"/>
        <s v="AR-GE-2009"/>
        <s v="AR-AE-BP-2023"/>
        <s v="AR-AE-BP-2019"/>
        <s v="AR-AE-BP-2017"/>
        <s v="AR-AE-BP-2016"/>
        <s v="AR-AE-BP-2014"/>
        <s v="AR-AE-BP-2013"/>
        <s v="AR-AE-BP-2011"/>
        <s v="DD-GE-2009"/>
        <s v="DL-GE-2009"/>
        <s v="DN-GE-2009"/>
        <s v="AS-AE-BP-2024"/>
        <s v="AS-AE-BP-2022"/>
        <s v="AS-AE-BP-2021"/>
        <s v="AS-AE-BP-2019"/>
        <s v="AS-AE-BP-2017"/>
        <s v="AS-AE-BP-2016"/>
        <s v="AS-AE-BP-2014"/>
        <s v="AS-AE-BP-2013"/>
        <s v="AS-AE-BP-2009"/>
        <s v="AS-GE-BP-2016"/>
        <s v="GJ-GE-2009"/>
        <s v="BR-AE-BP-2024"/>
        <s v="BR-AE-BP-2022"/>
        <s v="BR-AE-BP-2021"/>
        <s v="BR-AE-BP-2019"/>
        <s v="BR-AE-BP-2018"/>
        <s v="BR-AE-BP-2017"/>
        <s v="BR-AE-BP-2016"/>
        <s v="BR-AE-BP-2014"/>
        <s v="BR-AE-BP-2013"/>
        <s v="BR-GE-BP-2020"/>
        <s v="BR-GE-BP-2019"/>
        <s v="BR-GE-BP-2018"/>
        <s v="BR-GE-BP-2013"/>
        <s v="BR-GE-BP-2010"/>
        <s v="CT-AE-BP-2024"/>
        <s v="CT-AE-BP-2022"/>
        <s v="CT-AE-BP-2020"/>
        <s v="CT-AE-BP-2019"/>
        <s v="CT-AE-BP-2014"/>
        <s v="CT-AE-BP-2011"/>
        <s v="CT-AE-BP-2010"/>
        <s v="CT-AE-BP-2009"/>
        <s v="JH-AE-2009"/>
        <s v="JH-GE-2009"/>
        <s v="LA-GE-2009"/>
        <s v="LD-GE-2009"/>
        <s v="ML-GE-2009"/>
        <s v="MN-GE-2009"/>
        <s v="DL-AE-BP-2022"/>
        <s v="DL-AE-BP-2017"/>
        <s v="DL-AE-BP-2009"/>
        <s v="MP-GE-2009"/>
        <s v="MZ-GE-2009"/>
        <s v="NL-GE-2009"/>
        <s v="SK-AE-2009"/>
        <s v="SK-GE-2009"/>
        <s v="TR-GE-2009"/>
        <s v="DN-GE-BP-2021"/>
        <s v="GA-AE-BP-2022"/>
        <s v="GA-AE-BP-2019"/>
        <s v="GA-AE-BP-2017"/>
        <s v="GA-AE-BP-2015"/>
        <s v="GA-AE-BP-2012"/>
        <s v="TS-GE-2009"/>
        <s v="WB-AE-2011"/>
        <s v="GJ-AE-2012"/>
        <s v="GJ-AE-BP-2025"/>
        <s v="GJ-AE-BP-2024"/>
        <s v="GJ-AE-BP-2021"/>
        <s v="GJ-AE-BP-2020"/>
        <s v="GJ-AE-BP-2019"/>
        <s v="GJ-AE-BP-2018"/>
        <s v="GJ-AE-BP-2016"/>
        <s v="GJ-AE-BP-2014"/>
        <s v="GJ-AE-BP-2013"/>
        <s v="GJ-AE-BP-2012"/>
        <s v="GJ-AE-BP-2011"/>
        <s v="GJ-AE-BP-2010"/>
        <s v="GJ-AE-BP-2009"/>
        <s v="ML-AE-2013"/>
        <s v="MP-AE-2013"/>
        <s v="MZ-AE-2013"/>
        <s v="GJ-GE-BP-2014"/>
        <s v="GJ-GE-BP-2013"/>
        <s v="HP-AE-BP-2024"/>
        <s v="HP-AE-BP-2021"/>
        <s v="HP-AE-BP-2019"/>
        <s v="HP-AE-BP-2017"/>
        <s v="HP-AE-BP-2014"/>
        <s v="HP-AE-BP-2011"/>
        <s v="NL-AE-2013"/>
        <s v="TR-AE-2013"/>
        <s v="HP-GE-BP-2021"/>
        <s v="HP-GE-BP-2013"/>
        <s v="AN-GE-2014"/>
        <s v="HR-AE-BP-2024"/>
        <s v="HR-AE-BP-2022"/>
        <s v="HR-AE-BP-2021"/>
        <s v="HR-AE-BP-2020"/>
        <s v="HR-AE-BP-2019"/>
        <s v="HR-AE-BP-2011"/>
        <s v="HR-AE-BP-2010"/>
        <s v="AP-AE-2014"/>
        <s v="AP-GE-2014"/>
        <s v="AR-AE-2014"/>
        <s v="HR-GE-BP-2011"/>
        <s v="AR-GE-2014"/>
        <s v="JH-AE-BP-2024"/>
        <s v="JH-AE-BP-2023"/>
        <s v="JH-AE-BP-2022"/>
        <s v="JH-AE-BP-2021"/>
        <s v="JH-AE-BP-2020"/>
        <s v="JH-AE-BP-2018"/>
        <s v="JH-AE-BP-2017"/>
        <s v="JH-AE-BP-2016"/>
        <s v="JH-AE-BP-2015"/>
        <s v="JH-AE-BP-2012"/>
        <s v="JH-AE-BP-2011"/>
        <s v="JH-AE-BP-2010"/>
        <s v="JH-AE-BP-2009"/>
        <s v="DD-GE-2014"/>
        <s v="JH-GE-BP-2011"/>
        <s v="DN-GE-2014"/>
        <s v="JK-AE-BP-2009"/>
        <s v="GJ-GE-2014"/>
        <s v="KA-AE-BP-2024"/>
        <s v="KA-AE-BP-2021"/>
        <s v="KA-AE-BP-2020"/>
        <s v="KA-AE-BP-2019"/>
        <s v="KA-AE-BP-2018"/>
        <s v="KA-AE-BP-2017"/>
        <s v="KA-AE-BP-2016"/>
        <s v="KA-AE-BP-2014"/>
        <s v="KA-AE-BP-2011"/>
        <s v="KA-AE-BP-2010"/>
        <s v="KA-AE-BP-2009"/>
        <s v="KA-GE-BP-2021"/>
        <s v="KA-GE-BP-2018"/>
        <s v="KA-GE-BP-2013"/>
        <s v="KA-GE-BP-2012"/>
        <s v="KL-AE-BP-2025"/>
        <s v="KL-AE-BP-2024"/>
        <s v="KL-AE-BP-2021"/>
        <s v="KL-AE-BP-2019"/>
        <s v="KL-AE-BP-2018"/>
        <s v="KL-AE-BP-2017"/>
        <s v="KL-AE-BP-2015"/>
        <s v="KL-AE-BP-2012"/>
        <s v="KL-AE-BP-2009"/>
        <s v="LA-GE-2014"/>
        <s v="LD-GE-2014"/>
        <s v="ML-GE-2014"/>
        <s v="LD-GE-BP-2023"/>
        <s v="MP-GE-2014"/>
        <s v="MZ-GE-2014"/>
        <s v="NL-GE-2014"/>
        <s v="MH-AE-BP-2023"/>
        <s v="MH-AE-BP-2022"/>
        <s v="MH-AE-BP-2021"/>
        <s v="MH-AE-BP-2018"/>
        <s v="MH-AE-BP-2016"/>
        <s v="MH-AE-BP-2015"/>
        <s v="MH-AE-BP-2012"/>
        <s v="MH-AE-BP-2011"/>
        <s v="MH-AE-BP-2010"/>
        <s v="SK-AE-2014"/>
        <s v="SK-GE-2014"/>
        <s v="TR-GE-2014"/>
        <s v="MH-GE-BP-2024"/>
        <s v="MH-GE-BP-2019"/>
        <s v="MH-GE-BP-2018"/>
        <s v="MH-GE-BP-2014"/>
        <s v="TS-AE-2014"/>
        <s v="TS-GE-2014"/>
        <s v="WB-AE-2016"/>
        <s v="ML-AE-BP-2020"/>
        <s v="ML-AE-BP-2019"/>
        <s v="ML-AE-BP-2018"/>
        <s v="ML-AE-BP-2015"/>
        <s v="ML-AE-BP-2009"/>
        <s v="GJ-AE-2017"/>
        <s v="ML-AE-2018"/>
        <s v="ML-GE-BP-2016"/>
        <s v="ML-GE-BP-2008"/>
        <s v="MN-AE-BP-2020"/>
        <s v="MN-AE-BP-2015"/>
        <s v="MN-AE-BP-2014"/>
        <s v="MP-AE-2018"/>
        <s v="MZ-AE-2018"/>
        <s v="NL-AE-2018"/>
        <s v="TR-AE-2018"/>
        <s v="TS-AE-2018"/>
        <s v="MP-AE-BP-2024"/>
        <s v="MP-AE-BP-2021"/>
        <s v="MP-AE-BP-2020"/>
        <s v="MP-AE-BP-2019"/>
        <s v="MP-AE-BP-2018"/>
        <s v="MP-AE-BP-2017"/>
        <s v="MP-AE-BP-2016"/>
        <s v="MP-AE-BP-2015"/>
        <s v="MP-AE-BP-2014"/>
        <s v="MP-AE-BP-2011"/>
        <s v="MP-AE-BP-2009"/>
        <s v="AN-GE-2019"/>
        <s v="AP-AE-2019"/>
        <s v="AP-GE-2019"/>
        <s v="AR-AE-2019"/>
        <s v="MP-GE-BP-2021"/>
        <s v="MP-GE-BP-2015"/>
        <s v="AR-GE-2019"/>
        <s v="DD-GE-2019"/>
        <s v="DN-GE-2019"/>
        <s v="MZ-AE-BP-2021"/>
        <s v="MZ-AE-BP-2019"/>
        <s v="MZ-AE-BP-2015"/>
        <s v="MZ-AE-BP-2014"/>
        <s v="MZ-AE-BP-2013"/>
        <s v="GJ-GE-2019"/>
        <s v="LA-GE-2019"/>
        <s v="LD-GE-2019"/>
        <s v="ML-GE-2019"/>
        <s v="NL-AE-BP-2023"/>
        <s v="NL-AE-BP-2019"/>
        <s v="NL-AE-BP-2017"/>
        <s v="NL-AE-BP-2011"/>
        <s v="NL-AE-BP-2009"/>
        <s v="MZ-GE-2019"/>
        <s v="NL-GE-2019"/>
        <s v="SK-AE-2019"/>
        <s v="OR-AE-BP-2023"/>
        <s v="OR-AE-BP-2022"/>
        <s v="OR-AE-BP-2021"/>
        <s v="OR-AE-BP-2020"/>
        <s v="OR-AE-BP-2019"/>
        <s v="OR-AE-BP-2012"/>
        <s v="OR-AE-BP-2011"/>
        <s v="OR-AE-BP-2008"/>
        <s v="OR-GE-BP-2014"/>
        <s v="PB-AE-BP-2025"/>
        <s v="PB-AE-BP-2024"/>
        <s v="PB-AE-BP-2019"/>
        <s v="PB-AE-BP-2018"/>
        <s v="PB-AE-BP-2015"/>
        <s v="PB-AE-BP-2014"/>
        <s v="PB-AE-BP-2013"/>
        <s v="PB-AE-BP-2012"/>
        <s v="PB-AE-BP-2009"/>
        <s v="PB-AE-BP-2008"/>
        <s v="PB-GE-BP-2022"/>
        <s v="PB-GE-BP-2017"/>
        <s v="PB-GE-BP-2016"/>
        <s v="PY-AE-BP-2019"/>
        <s v="PY-AE-BP-2016"/>
        <s v="PY-AE-BP-2011"/>
        <s v="SK-GE-2019"/>
        <s v="RJ-AE-BP-2024"/>
        <s v="RJ-AE-BP-2022"/>
        <s v="RJ-AE-BP-2021"/>
        <s v="RJ-AE-BP-2019"/>
        <s v="RJ-AE-BP-2018"/>
        <s v="RJ-AE-BP-2017"/>
        <s v="RJ-AE-BP-2014"/>
        <s v="RJ-AE-BP-2009"/>
        <s v="RJ-GE-BP-2018"/>
        <s v="TR-GE-2019"/>
        <s v="TS-GE-2019"/>
        <s v="GJ-AE-2022"/>
        <s v="ML-AE-2023"/>
        <s v="SK-AE-BP-2024"/>
        <s v="SK-AE-BP-2019"/>
        <s v="SK-AE-BP-2017"/>
        <s v="SK-AE-BP-2014"/>
        <s v="MP-AE-2023"/>
        <s v="MZ-AE-2023"/>
        <s v="NL-AE-2023"/>
        <s v="TR-AE-2023"/>
        <s v="TN-AE-BP-2025"/>
        <s v="TN-AE-BP-2024"/>
        <s v="TN-AE-BP-2023"/>
        <s v="TN-AE-BP-2019"/>
        <s v="TN-AE-BP-2017"/>
        <s v="TN-AE-BP-2016"/>
        <s v="TN-AE-BP-2015"/>
        <s v="TN-AE-BP-2014"/>
        <s v="TN-AE-BP-2013"/>
        <s v="TN-AE-BP-2012"/>
        <s v="TN-AE-BP-2011"/>
        <s v="TN-AE-BP-2009"/>
        <s v="TN-GE-BP-2021"/>
        <s v="TS-AE-2023"/>
        <s v="AR-AE-2024"/>
        <s v="AR-GE-2024"/>
        <s v="DD-GE-2024"/>
        <s v="TR-AE-BP-2024"/>
        <s v="TR-AE-BP-2023"/>
        <s v="TR-AE-BP-2022"/>
        <s v="TR-AE-BP-2019"/>
        <s v="TR-AE-BP-2016"/>
        <s v="TR-AE-BP-2015"/>
        <s v="TR-AE-BP-2014"/>
        <s v="TR-AE-BP-2012"/>
        <s v="DL-GE-2024"/>
        <s v="DN-GE-2024"/>
        <s v="GJ-GE-2024"/>
        <s v="ML-GE-2024"/>
        <s v="MZ-GE-2024"/>
        <s v="NL-GE-2024"/>
        <s v="TS-AE-BP-2024"/>
        <s v="TS-AE-BP-2022"/>
        <s v="TS-AE-BP-2021"/>
        <s v="TS-AE-BP-2020"/>
        <s v="TS-AE-BP-2019"/>
        <s v="TS-AE-BP-2016"/>
        <s v="TS-AE-BP-2012"/>
        <s v="TS-AE-BP-2011"/>
        <s v="TS-AE-BP-2010"/>
        <s v="TS-AE-BP-2008"/>
        <s v="SK-AE-2024"/>
        <s v="SK-GE-2024"/>
        <s v="TR-GE-2024"/>
        <s v="TS-GE-2024"/>
        <s v="TS-GE-BP-2015"/>
        <s v="TS-GE-BP-2014"/>
        <s v="TS-GE-BP-2008"/>
        <s v="UK-AE-BP-2024"/>
        <s v="UK-AE-BP-2023"/>
        <s v="UK-AE-BP-2022"/>
        <s v="UK-AE-BP-2021"/>
        <s v="UK-AE-BP-2019"/>
        <s v="UK-AE-BP-2018"/>
        <s v="UK-AE-BP-2015"/>
        <s v="UK-AE-BP-2014"/>
        <s v="UK-AE-BP-2012"/>
        <s v="UK-AE-BP-2009"/>
        <s v="UK-GE-BP-2012"/>
        <s v="UK-GE-BP-2008"/>
        <s v="UP-AE-BP-2025"/>
        <s v="UP-AE-BP-2024"/>
        <s v="UP-AE-BP-2023"/>
        <s v="UP-AE-BP-2022"/>
        <s v="UP-AE-BP-2021"/>
        <s v="UP-AE-BP-2020"/>
        <s v="UP-AE-BP-2019"/>
        <s v="UP-AE-BP-2018"/>
        <s v="UP-AE-BP-2017"/>
        <s v="UP-AE-BP-2016"/>
        <s v="UP-AE-BP-2015"/>
        <s v="UP-AE-BP-2014"/>
        <s v="UP-AE-BP-2013"/>
        <s v="UP-AE-BP-2011"/>
        <s v="UP-AE-BP-2010"/>
        <s v="UP-AE-BP-2009"/>
        <s v="UP-GE-BP-2021"/>
        <s v="UP-GE-BP-2018"/>
        <s v="UP-GE-BP-2014"/>
        <s v="UP-GE-BP-2012"/>
        <s v="DL-AE-2025"/>
        <s v="WB-AE-BP-2025"/>
        <s v="WB-AE-BP-2024"/>
        <s v="WB-AE-BP-2023"/>
        <s v="WB-AE-BP-2022"/>
        <s v="WB-AE-BP-2018"/>
        <s v="WB-AE-BP-2017"/>
        <s v="WB-AE-BP-2016"/>
        <s v="WB-AE-BP-2012"/>
        <s v="WB-AE-BP-2011"/>
        <s v="WB-AE-BP-2010"/>
        <s v="WB-AE-BP-2009"/>
        <s v="WB-GE-BP-2022"/>
        <s v="WB-GE-BP-2018"/>
        <s v="WB-GE-BP-2016"/>
        <s v="WB-GE-BP-2013"/>
        <s v="WB-GE-BP-2011"/>
        <m/>
      </sharedItems>
    </cacheField>
    <cacheField name="SIR States" numFmtId="0">
      <sharedItems containsBlank="1">
        <s v="No"/>
        <s v="Yes"/>
        <m/>
      </sharedItems>
    </cacheField>
    <cacheField name="WIP(Yes/No)" numFmtId="0">
      <sharedItems containsString="0" containsBlank="1">
        <m/>
      </sharedItems>
    </cacheField>
    <cacheField name="RemarK" numFmtId="0">
      <sharedItems containsString="0" containsBlank="1">
        <m/>
      </sharedItems>
    </cacheField>
    <cacheField name=" " numFmtId="0">
      <sharedItems containsBlank="1">
        <s v="DL-AE-2008"/>
        <s v="JK-AE-2008"/>
        <s v="MP-AE-2008"/>
        <s v="MZ-AE-2008"/>
        <s v="AP-AE-BP-2022"/>
        <s v="AP-AE-BP-2021"/>
        <s v="AP-AE-BP-2017"/>
        <s v="AP-AE-BP-2015"/>
        <s v="AP-AE-BP-2014"/>
        <s v="AP-AE-BP-2012"/>
        <s v="AP-AE-BP-2011"/>
        <s v="AP-AE-BP-2010"/>
        <s v="TR-AE-2008"/>
        <s v="AN-GE-2009"/>
        <s v="AP-GE-BP-2021"/>
        <s v="AP-GE-BP-2012"/>
        <s v="AP-GE-BP-2011"/>
        <s v="AP-AE-2009"/>
        <s v="AP-GE-2009"/>
        <s v="AR-AE-2009"/>
        <s v="AR-GE-2009"/>
        <s v="AR-AE-BP-2023"/>
        <s v="AR-AE-BP-2019"/>
        <s v="AR-AE-BP-2017"/>
        <s v="AR-AE-BP-2016"/>
        <s v="AR-AE-BP-2014"/>
        <s v="AR-AE-BP-2013"/>
        <s v="AR-AE-BP-2011"/>
        <s v="DD-GE-2009"/>
        <s v="DL-GE-2009"/>
        <s v="DN-GE-2009"/>
        <s v="AS-AE-BP-2024"/>
        <s v="AS-AE-BP-2022"/>
        <s v="AS-AE-BP-2021"/>
        <s v="AS-AE-BP-2019"/>
        <s v="AS-AE-BP-2017"/>
        <s v="AS-AE-BP-2016"/>
        <s v="AS-AE-BP-2014"/>
        <s v="AS-AE-BP-2013"/>
        <s v="AS-AE-BP-2009"/>
        <s v="AS-GE-BP-2016"/>
        <s v="GJ-GE-2009"/>
        <s v="BR-AE-BP-2024"/>
        <s v="BR-AE-BP-2022"/>
        <s v="BR-AE-BP-2021"/>
        <s v="BR-AE-BP-2019"/>
        <s v="BR-AE-BP-2018"/>
        <s v="BR-AE-BP-2017"/>
        <s v="BR-AE-BP-2016"/>
        <s v="BR-AE-BP-2014"/>
        <s v="BR-AE-BP-2013"/>
        <s v="BR-GE-BP-2020"/>
        <s v="BR-GE-BP-2019"/>
        <s v="BR-GE-BP-2018"/>
        <s v="BR-GE-BP-2013"/>
        <s v="BR-GE-BP-2010"/>
        <s v="CT-AE-BP-2024"/>
        <s v="CT-AE-BP-2022"/>
        <s v="CT-AE-BP-2020"/>
        <s v="CT-AE-BP-2019"/>
        <s v="CT-AE-BP-2014"/>
        <s v="CT-AE-BP-2011"/>
        <s v="CT-AE-BP-2010"/>
        <s v="CT-AE-BP-2009"/>
        <s v="JH-AE-2009"/>
        <s v="JH-GE-2009"/>
        <s v="LA-GE-2009"/>
        <s v="LD-GE-2009"/>
        <s v="ML-GE-2009"/>
        <s v="MN-GE-2009"/>
        <s v="DL-AE-BP-2022"/>
        <s v="DL-AE-BP-2017"/>
        <s v="DL-AE-BP-2009"/>
        <s v="MP-GE-2009"/>
        <s v="MZ-GE-2009"/>
        <s v="NL-GE-2009"/>
        <s v="SK-AE-2009"/>
        <s v="SK-GE-2009"/>
        <s v="TR-GE-2009"/>
        <s v="DN-GE-BP-2021"/>
        <s v="GA-AE-BP-2022"/>
        <s v="GA-AE-BP-2019"/>
        <s v="GA-AE-BP-2017"/>
        <s v="GA-AE-BP-2015"/>
        <s v="GA-AE-BP-2012"/>
        <s v="TS-GE-2009"/>
        <s v="WB-AE-2011"/>
        <s v="GJ-AE-2012"/>
        <s v="GJ-AE-BP-2025"/>
        <s v="GJ-AE-BP-2024"/>
        <s v="GJ-AE-BP-2021"/>
        <s v="GJ-AE-BP-2020"/>
        <s v="GJ-AE-BP-2019"/>
        <s v="GJ-AE-BP-2018"/>
        <s v="GJ-AE-BP-2016"/>
        <s v="GJ-AE-BP-2014"/>
        <s v="GJ-AE-BP-2013"/>
        <s v="GJ-AE-BP-2012"/>
        <s v="GJ-AE-BP-2011"/>
        <s v="GJ-AE-BP-2010"/>
        <s v="GJ-AE-BP-2009"/>
        <s v="ML-AE-2013"/>
        <s v="MP-AE-2013"/>
        <s v="MZ-AE-2013"/>
        <s v="GJ-GE-BP-2014"/>
        <s v="GJ-GE-BP-2013"/>
        <s v="HP-AE-BP-2024"/>
        <s v="HP-AE-BP-2021"/>
        <s v="HP-AE-BP-2019"/>
        <s v="HP-AE-BP-2017"/>
        <s v="HP-AE-BP-2014"/>
        <s v="HP-AE-BP-2011"/>
        <s v="NL-AE-2013"/>
        <s v="TR-AE-2013"/>
        <s v="HP-GE-BP-2021"/>
        <s v="HP-GE-BP-2013"/>
        <s v="AN-GE-2014"/>
        <s v="HR-AE-BP-2024"/>
        <s v="HR-AE-BP-2022"/>
        <s v="HR-AE-BP-2021"/>
        <s v="HR-AE-BP-2020"/>
        <s v="HR-AE-BP-2019"/>
        <s v="HR-AE-BP-2011"/>
        <s v="HR-AE-BP-2010"/>
        <s v="AP-AE-2014"/>
        <s v="AP-GE-2014"/>
        <s v="AR-AE-2014"/>
        <s v="HR-GE-BP-2011"/>
        <s v="AR-GE-2014"/>
        <s v="JH-AE-BP-2024"/>
        <s v="JH-AE-BP-2023"/>
        <s v="JH-AE-BP-2022"/>
        <s v="JH-AE-BP-2021"/>
        <s v="JH-AE-BP-2020"/>
        <s v="JH-AE-BP-2018"/>
        <s v="JH-AE-BP-2017"/>
        <s v="JH-AE-BP-2016"/>
        <s v="JH-AE-BP-2015"/>
        <s v="JH-AE-BP-2012"/>
        <s v="JH-AE-BP-2011"/>
        <s v="JH-AE-BP-2010"/>
        <s v="JH-AE-BP-2009"/>
        <s v="DD-GE-2014"/>
        <s v="JH-GE-BP-2011"/>
        <s v="DN-GE-2014"/>
        <s v="JK-AE-BP-2009"/>
        <s v="GJ-GE-2014"/>
        <s v="KA-AE-BP-2024"/>
        <s v="KA-AE-BP-2021"/>
        <s v="KA-AE-BP-2020"/>
        <s v="KA-AE-BP-2019"/>
        <s v="KA-AE-BP-2018"/>
        <s v="KA-AE-BP-2017"/>
        <s v="KA-AE-BP-2016"/>
        <s v="KA-AE-BP-2014"/>
        <s v="KA-AE-BP-2011"/>
        <s v="KA-AE-BP-2010"/>
        <s v="KA-AE-BP-2009"/>
        <s v="KA-GE-BP-2021"/>
        <s v="KA-GE-BP-2018"/>
        <s v="KA-GE-BP-2013"/>
        <s v="KA-GE-BP-2012"/>
        <s v="KL-AE-BP-2025"/>
        <s v="KL-AE-BP-2024"/>
        <s v="KL-AE-BP-2021"/>
        <s v="KL-AE-BP-2019"/>
        <s v="KL-AE-BP-2018"/>
        <s v="KL-AE-BP-2017"/>
        <s v="KL-AE-BP-2015"/>
        <s v="KL-AE-BP-2012"/>
        <s v="KL-AE-BP-2009"/>
        <s v="LA-GE-2014"/>
        <s v="LD-GE-2014"/>
        <s v="ML-GE-2014"/>
        <s v="LD-GE-BP-2023"/>
        <s v="MP-GE-2014"/>
        <s v="MZ-GE-2014"/>
        <s v="NL-GE-2014"/>
        <s v="MH-AE-BP-2023"/>
        <s v="MH-AE-BP-2022"/>
        <s v="MH-AE-BP-2021"/>
        <s v="MH-AE-BP-2018"/>
        <s v="MH-AE-BP-2016"/>
        <s v="MH-AE-BP-2015"/>
        <s v="MH-AE-BP-2012"/>
        <s v="MH-AE-BP-2011"/>
        <s v="MH-AE-BP-2010"/>
        <s v="SK-AE-2014"/>
        <s v="SK-GE-2014"/>
        <s v="TR-GE-2014"/>
        <s v="MH-GE-BP-2024"/>
        <s v="MH-GE-BP-2019"/>
        <s v="MH-GE-BP-2018"/>
        <s v="MH-GE-BP-2014"/>
        <s v="TS-AE-2014"/>
        <s v="TS-GE-2014"/>
        <s v="WB-AE-2016"/>
        <s v="ML-AE-BP-2020"/>
        <s v="ML-AE-BP-2019"/>
        <s v="ML-AE-BP-2018"/>
        <s v="ML-AE-BP-2015"/>
        <s v="ML-AE-BP-2009"/>
        <s v="GJ-AE-2017"/>
        <s v="ML-AE-2018"/>
        <s v="ML-GE-BP-2016"/>
        <s v="ML-GE-BP-2008"/>
        <s v="MN-AE-BP-2020"/>
        <s v="MN-AE-BP-2015"/>
        <s v="MN-AE-BP-2014"/>
        <s v="MP-AE-2018"/>
        <s v="MZ-AE-2018"/>
        <s v="NL-AE-2018"/>
        <s v="TR-AE-2018"/>
        <s v="TS-AE-2018"/>
        <s v="MP-AE-BP-2024"/>
        <s v="MP-AE-BP-2021"/>
        <s v="MP-AE-BP-2020"/>
        <s v="MP-AE-BP-2019"/>
        <s v="MP-AE-BP-2018"/>
        <s v="MP-AE-BP-2017"/>
        <s v="MP-AE-BP-2016"/>
        <s v="MP-AE-BP-2015"/>
        <s v="MP-AE-BP-2014"/>
        <s v="MP-AE-BP-2011"/>
        <s v="MP-AE-BP-2009"/>
        <s v="AN-GE-2019"/>
        <s v="AP-AE-2019"/>
        <s v="AP-GE-2019"/>
        <s v="AR-AE-2019"/>
        <s v="MP-GE-BP-2021"/>
        <s v="MP-GE-BP-2015"/>
        <s v="AR-GE-2019"/>
        <s v="DD-GE-2019"/>
        <s v="DN-GE-2019"/>
        <s v="MZ-AE-BP-2021"/>
        <s v="MZ-AE-BP-2019"/>
        <s v="MZ-AE-BP-2015"/>
        <s v="MZ-AE-BP-2014"/>
        <s v="MZ-AE-BP-2013"/>
        <s v="GJ-GE-2019"/>
        <s v="LA-GE-2019"/>
        <s v="LD-GE-2019"/>
        <s v="ML-GE-2019"/>
        <s v="NL-AE-BP-2023"/>
        <s v="NL-AE-BP-2019"/>
        <s v="NL-AE-BP-2017"/>
        <s v="NL-AE-BP-2011"/>
        <s v="NL-AE-BP-2009"/>
        <s v="MZ-GE-2019"/>
        <s v="NL-GE-2019"/>
        <s v="SK-AE-2019"/>
        <s v="OR-AE-BP-2023"/>
        <s v="OR-AE-BP-2022"/>
        <s v="OR-AE-BP-2021"/>
        <s v="OR-AE-BP-2020"/>
        <s v="OR-AE-BP-2019"/>
        <s v="OR-AE-BP-2012"/>
        <s v="OR-AE-BP-2011"/>
        <s v="OR-AE-BP-2008"/>
        <s v="OR-GE-BP-2014"/>
        <s v="PB-AE-BP-2025"/>
        <s v="PB-AE-BP-2024"/>
        <s v="PB-AE-BP-2019"/>
        <s v="PB-AE-BP-2018"/>
        <s v="PB-AE-BP-2015"/>
        <s v="PB-AE-BP-2014"/>
        <s v="PB-AE-BP-2013"/>
        <s v="PB-AE-BP-2012"/>
        <s v="PB-AE-BP-2009"/>
        <s v="PB-AE-BP-2008"/>
        <s v="PB-GE-BP-2022"/>
        <s v="PB-GE-BP-2017"/>
        <s v="PB-GE-BP-2016"/>
        <s v="PY-AE-BP-2019"/>
        <s v="PY-AE-BP-2016"/>
        <s v="PY-AE-BP-2011"/>
        <s v="SK-GE-2019"/>
        <s v="RJ-AE-BP-2024"/>
        <s v="RJ-AE-BP-2022"/>
        <s v="RJ-AE-BP-2021"/>
        <s v="RJ-AE-BP-2019"/>
        <s v="RJ-AE-BP-2018"/>
        <s v="RJ-AE-BP-2017"/>
        <s v="RJ-AE-BP-2014"/>
        <s v="RJ-AE-BP-2009"/>
        <s v="RJ-GE-BP-2018"/>
        <s v="TR-GE-2019"/>
        <s v="TS-GE-2019"/>
        <s v="GJ-AE-2022"/>
        <s v="ML-AE-2023"/>
        <s v="SK-AE-BP-2024"/>
        <s v="SK-AE-BP-2019"/>
        <s v="SK-AE-BP-2017"/>
        <s v="SK-AE-BP-2014"/>
        <s v="MP-AE-2023"/>
        <s v="MZ-AE-2023"/>
        <s v="NL-AE-2023"/>
        <s v="TR-AE-2023"/>
        <s v="TN-AE-BP-2025"/>
        <s v="TN-AE-BP-2024"/>
        <s v="TN-AE-BP-2023"/>
        <s v="TN-AE-BP-2019"/>
        <s v="TN-AE-BP-2017"/>
        <s v="TN-AE-BP-2016"/>
        <s v="TN-AE-BP-2015"/>
        <s v="TN-AE-BP-2014"/>
        <s v="TN-AE-BP-2013"/>
        <s v="TN-AE-BP-2012"/>
        <s v="TN-AE-BP-2011"/>
        <s v="TN-AE-BP-2009"/>
        <s v="TN-GE-BP-2021"/>
        <s v="TS-AE-2023"/>
        <s v="AR-AE-2024"/>
        <s v="AR-GE-2024"/>
        <s v="DD-GE-2024"/>
        <s v="TR-AE-BP-2024"/>
        <s v="TR-AE-BP-2023"/>
        <s v="TR-AE-BP-2022"/>
        <s v="TR-AE-BP-2019"/>
        <s v="TR-AE-BP-2016"/>
        <s v="TR-AE-BP-2015"/>
        <s v="TR-AE-BP-2014"/>
        <s v="TR-AE-BP-2012"/>
        <s v="DL-GE-2024"/>
        <s v="DN-GE-2024"/>
        <s v="GJ-GE-2024"/>
        <s v="ML-GE-2024"/>
        <s v="MZ-GE-2024"/>
        <s v="NL-GE-2024"/>
        <s v="TS-AE-BP-2024"/>
        <s v="TS-AE-BP-2022"/>
        <s v="TS-AE-BP-2021"/>
        <s v="TS-AE-BP-2020"/>
        <s v="TS-AE-BP-2019"/>
        <s v="TS-AE-BP-2016"/>
        <s v="TS-AE-BP-2012"/>
        <s v="TS-AE-BP-2011"/>
        <s v="TS-AE-BP-2010"/>
        <s v="TS-AE-BP-2008"/>
        <s v="SK-AE-2024"/>
        <s v="SK-GE-2024"/>
        <s v="TR-GE-2024"/>
        <s v="TS-GE-2024"/>
        <s v="TS-GE-BP-2015"/>
        <s v="TS-GE-BP-2014"/>
        <s v="TS-GE-BP-2008"/>
        <s v="UK-AE-BP-2024"/>
        <s v="UK-AE-BP-2023"/>
        <s v="UK-AE-BP-2022"/>
        <s v="UK-AE-BP-2021"/>
        <s v="UK-AE-BP-2019"/>
        <s v="UK-AE-BP-2018"/>
        <s v="UK-AE-BP-2015"/>
        <s v="UK-AE-BP-2014"/>
        <s v="UK-AE-BP-2012"/>
        <s v="UK-AE-BP-2009"/>
        <s v="UK-GE-BP-2012"/>
        <s v="UK-GE-BP-2008"/>
        <s v="UP-AE-BP-2025"/>
        <s v="UP-AE-BP-2024"/>
        <s v="UP-AE-BP-2023"/>
        <s v="UP-AE-BP-2022"/>
        <s v="UP-AE-BP-2021"/>
        <s v="UP-AE-BP-2020"/>
        <s v="UP-AE-BP-2019"/>
        <s v="UP-AE-BP-2018"/>
        <s v="UP-AE-BP-2017"/>
        <s v="UP-AE-BP-2016"/>
        <s v="UP-AE-BP-2015"/>
        <s v="UP-AE-BP-2014"/>
        <s v="UP-AE-BP-2013"/>
        <s v="UP-AE-BP-2011"/>
        <s v="UP-AE-BP-2010"/>
        <s v="UP-AE-BP-2009"/>
        <s v="UP-GE-BP-2021"/>
        <s v="UP-GE-BP-2018"/>
        <s v="UP-GE-BP-2014"/>
        <s v="UP-GE-BP-2012"/>
        <s v="DL-AE-2025"/>
        <s v="WB-AE-BP-2025"/>
        <s v="WB-AE-BP-2024"/>
        <s v="WB-AE-BP-2023"/>
        <s v="WB-AE-BP-2022"/>
        <s v="WB-AE-BP-2018"/>
        <s v="WB-AE-BP-2017"/>
        <s v="WB-AE-BP-2016"/>
        <s v="WB-AE-BP-2012"/>
        <s v="WB-AE-BP-2011"/>
        <s v="WB-AE-BP-2010"/>
        <s v="WB-AE-BP-2009"/>
        <s v="WB-GE-BP-2022"/>
        <s v="WB-GE-BP-2018"/>
        <s v="WB-GE-BP-2016"/>
        <s v="WB-GE-BP-2013"/>
        <s v="WB-GE-BP-2011"/>
        <m/>
      </sharedItems>
    </cacheField>
    <cacheField name="DB Status" numFmtId="0">
      <sharedItems containsString="0" containsBlank="1">
        <m/>
      </sharedItems>
    </cacheField>
    <cacheField name="Varahe" numFmtId="0">
      <sharedItems containsString="0" containsBlank="1">
        <m/>
      </sharedItems>
    </cacheField>
    <cacheField name="Tracker Updated Date" numFmtId="0">
      <sharedItems containsString="0" containsBlank="1">
        <m/>
      </sharedItems>
    </cacheField>
    <cacheField name="25-05-2026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lGrandTotals="0" compact="0" compactData="0">
  <location ref="A1:C23" firstHeaderRow="0" firstDataRow="1" firstDataCol="1"/>
  <pivotFields>
    <pivotField name="State" axis="axisRow" compact="0" outline="0" multipleItemSelectionAllowed="1" showAll="0" sortType="ascending">
      <items>
        <item x="36"/>
        <item x="6"/>
        <item x="4"/>
        <item x="7"/>
        <item x="10"/>
        <item x="12"/>
        <item x="13"/>
        <item x="8"/>
        <item x="0"/>
        <item x="9"/>
        <item x="21"/>
        <item x="11"/>
        <item x="24"/>
        <item x="25"/>
        <item x="14"/>
        <item x="1"/>
        <item x="26"/>
        <item x="27"/>
        <item x="15"/>
        <item x="16"/>
        <item x="28"/>
        <item x="17"/>
        <item x="18"/>
        <item x="2"/>
        <item x="3"/>
        <item x="19"/>
        <item x="29"/>
        <item x="30"/>
        <item x="31"/>
        <item x="32"/>
        <item x="20"/>
        <item x="33"/>
        <item x="5"/>
        <item x="22"/>
        <item x="34"/>
        <item x="35"/>
        <item x="23"/>
        <item t="default"/>
      </items>
    </pivotField>
    <pivotField name="El Type" axis="axisCol" compact="0" outline="0" multipleItemSelectionAllowed="1" showAll="0" sortType="ascending">
      <items>
        <item h="1" x="4"/>
        <item x="0"/>
        <item h="1" x="1"/>
        <item x="2"/>
        <item h="1" x="3"/>
        <item t="default"/>
      </items>
    </pivotField>
    <pivotField name="El Yea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SIR States" compact="0" outline="0" multipleItemSelectionAllowed="1" showAll="0">
      <items>
        <item x="0"/>
        <item x="1"/>
        <item x="2"/>
        <item t="default"/>
      </items>
    </pivotField>
    <pivotField name="WIP(Yes/No)" compact="0" outline="0" multipleItemSelectionAllowed="1" showAll="0">
      <items>
        <item x="0"/>
        <item t="default"/>
      </items>
    </pivotField>
    <pivotField name="RemarK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t="default"/>
      </items>
    </pivotField>
    <pivotField name="DB Status" compact="0" outline="0" multipleItemSelectionAllowed="1" showAll="0">
      <items>
        <item x="0"/>
        <item t="default"/>
      </items>
    </pivotField>
    <pivotField name="Varahe" compact="0" outline="0" multipleItemSelectionAllowed="1" showAll="0">
      <items>
        <item x="0"/>
        <item t="default"/>
      </items>
    </pivotField>
    <pivotField name="Tracker Updated Date" compact="0" outline="0" multipleItemSelectionAllowed="1" showAll="0">
      <items>
        <item x="0"/>
        <item t="default"/>
      </items>
    </pivotField>
    <pivotField name="25-05-2026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0"/>
  </rowFields>
  <colFields>
    <field x="1"/>
  </colFields>
  <dataFields>
    <dataField name="COUNTA of El Year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4" max="4" width="26.13"/>
    <col customWidth="1" hidden="1" min="5" max="5" width="24.0"/>
    <col customWidth="1" min="6" max="6" width="20.0"/>
    <col customWidth="1" min="7" max="7" width="41.75"/>
    <col customWidth="1" hidden="1" min="8" max="8" width="41.75"/>
    <col customWidth="1" min="9" max="9" width="34.13"/>
    <col customWidth="1" min="10" max="10" width="32.38"/>
    <col customWidth="1" min="11" max="11" width="28.63"/>
    <col customWidth="1" min="12" max="12" width="39.38"/>
    <col customWidth="1" min="13" max="1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4" t="s">
        <v>7</v>
      </c>
      <c r="N1" s="4" t="s">
        <v>7</v>
      </c>
      <c r="O1" s="4" t="s">
        <v>7</v>
      </c>
      <c r="P1" s="4" t="s">
        <v>7</v>
      </c>
      <c r="Q1" s="4" t="s">
        <v>7</v>
      </c>
      <c r="R1" s="4" t="s">
        <v>7</v>
      </c>
      <c r="S1" s="4" t="s">
        <v>7</v>
      </c>
      <c r="T1" s="4" t="s">
        <v>7</v>
      </c>
      <c r="U1" s="4" t="s">
        <v>7</v>
      </c>
      <c r="V1" s="4" t="s">
        <v>7</v>
      </c>
    </row>
    <row r="2">
      <c r="A2" s="5" t="s">
        <v>12</v>
      </c>
      <c r="B2" s="5" t="s">
        <v>13</v>
      </c>
      <c r="C2" s="5">
        <v>2008.0</v>
      </c>
      <c r="D2" s="5" t="str">
        <f t="shared" ref="D2:D396" si="1">CONCATENATE(A2,"-",B2,"-",C2)</f>
        <v>DL-AE-2008</v>
      </c>
      <c r="E2" s="6" t="str">
        <f>IF(ISNA(VLOOKUP(A2,'SIR States'!$A:$A,1,FALSE)),"No","Yes")</f>
        <v>No</v>
      </c>
      <c r="H2" s="4" t="str">
        <f>VLOOKUP(D2,'25th May'!$D:$D,1,0)</f>
        <v>DL-AE-2008</v>
      </c>
    </row>
    <row r="3">
      <c r="A3" s="5" t="s">
        <v>14</v>
      </c>
      <c r="B3" s="5" t="s">
        <v>13</v>
      </c>
      <c r="C3" s="5">
        <v>2008.0</v>
      </c>
      <c r="D3" s="5" t="str">
        <f t="shared" si="1"/>
        <v>JK-AE-2008</v>
      </c>
      <c r="E3" s="6" t="str">
        <f>IF(ISNA(VLOOKUP(A3,'SIR States'!$A:$A,1,FALSE)),"No","Yes")</f>
        <v>Yes</v>
      </c>
      <c r="F3" s="7"/>
      <c r="G3" s="7"/>
      <c r="H3" s="4" t="str">
        <f>VLOOKUP(D3,'25th May'!$D:$D,1,0)</f>
        <v>JK-AE-2008</v>
      </c>
      <c r="I3" s="7"/>
    </row>
    <row r="4">
      <c r="A4" s="5" t="s">
        <v>15</v>
      </c>
      <c r="B4" s="5" t="s">
        <v>13</v>
      </c>
      <c r="C4" s="5">
        <v>2008.0</v>
      </c>
      <c r="D4" s="5" t="str">
        <f t="shared" si="1"/>
        <v>MP-AE-2008</v>
      </c>
      <c r="E4" s="6" t="str">
        <f>IF(ISNA(VLOOKUP(A4,'SIR States'!$A:$A,1,FALSE)),"No","Yes")</f>
        <v>No</v>
      </c>
      <c r="H4" s="4" t="str">
        <f>VLOOKUP(D4,'25th May'!$D:$D,1,0)</f>
        <v>MP-AE-2008</v>
      </c>
    </row>
    <row r="5">
      <c r="A5" s="5" t="s">
        <v>16</v>
      </c>
      <c r="B5" s="5" t="s">
        <v>13</v>
      </c>
      <c r="C5" s="5">
        <v>2008.0</v>
      </c>
      <c r="D5" s="5" t="str">
        <f t="shared" si="1"/>
        <v>MZ-AE-2008</v>
      </c>
      <c r="E5" s="6" t="str">
        <f>IF(ISNA(VLOOKUP(A5,'SIR States'!$A:$A,1,FALSE)),"No","Yes")</f>
        <v>No</v>
      </c>
      <c r="H5" s="4" t="str">
        <f>VLOOKUP(D5,'25th May'!$D:$D,1,0)</f>
        <v>MZ-AE-2008</v>
      </c>
    </row>
    <row r="6">
      <c r="A6" s="5" t="s">
        <v>17</v>
      </c>
      <c r="B6" s="5" t="s">
        <v>18</v>
      </c>
      <c r="C6" s="5">
        <v>2022.0</v>
      </c>
      <c r="D6" s="5" t="str">
        <f t="shared" si="1"/>
        <v>AP-AE-BP-2022</v>
      </c>
      <c r="E6" s="6" t="str">
        <f>IF(ISNA(VLOOKUP(A6,'SIR States'!$A:$A,1,FALSE)),"No","Yes")</f>
        <v>Yes</v>
      </c>
      <c r="H6" s="4" t="str">
        <f>VLOOKUP(D6,'25th May'!$D:$D,1,0)</f>
        <v>AP-AE-BP-2022</v>
      </c>
    </row>
    <row r="7">
      <c r="A7" s="5" t="s">
        <v>17</v>
      </c>
      <c r="B7" s="5" t="s">
        <v>18</v>
      </c>
      <c r="C7" s="5">
        <v>2021.0</v>
      </c>
      <c r="D7" s="5" t="str">
        <f t="shared" si="1"/>
        <v>AP-AE-BP-2021</v>
      </c>
      <c r="E7" s="6" t="str">
        <f>IF(ISNA(VLOOKUP(A7,'SIR States'!$A:$A,1,FALSE)),"No","Yes")</f>
        <v>Yes</v>
      </c>
      <c r="H7" s="4" t="str">
        <f>VLOOKUP(D7,'25th May'!$D:$D,1,0)</f>
        <v>AP-AE-BP-2021</v>
      </c>
    </row>
    <row r="8">
      <c r="A8" s="5" t="s">
        <v>17</v>
      </c>
      <c r="B8" s="5" t="s">
        <v>18</v>
      </c>
      <c r="C8" s="5">
        <v>2017.0</v>
      </c>
      <c r="D8" s="5" t="str">
        <f t="shared" si="1"/>
        <v>AP-AE-BP-2017</v>
      </c>
      <c r="E8" s="6" t="str">
        <f>IF(ISNA(VLOOKUP(A8,'SIR States'!$A:$A,1,FALSE)),"No","Yes")</f>
        <v>Yes</v>
      </c>
      <c r="H8" s="4" t="str">
        <f>VLOOKUP(D8,'25th May'!$D:$D,1,0)</f>
        <v>AP-AE-BP-2017</v>
      </c>
    </row>
    <row r="9">
      <c r="A9" s="5" t="s">
        <v>17</v>
      </c>
      <c r="B9" s="5" t="s">
        <v>18</v>
      </c>
      <c r="C9" s="5">
        <v>2015.0</v>
      </c>
      <c r="D9" s="5" t="str">
        <f t="shared" si="1"/>
        <v>AP-AE-BP-2015</v>
      </c>
      <c r="E9" s="6" t="str">
        <f>IF(ISNA(VLOOKUP(A9,'SIR States'!$A:$A,1,FALSE)),"No","Yes")</f>
        <v>Yes</v>
      </c>
      <c r="H9" s="4" t="str">
        <f>VLOOKUP(D9,'25th May'!$D:$D,1,0)</f>
        <v>AP-AE-BP-2015</v>
      </c>
    </row>
    <row r="10">
      <c r="A10" s="5" t="s">
        <v>17</v>
      </c>
      <c r="B10" s="5" t="s">
        <v>18</v>
      </c>
      <c r="C10" s="5">
        <v>2014.0</v>
      </c>
      <c r="D10" s="5" t="str">
        <f t="shared" si="1"/>
        <v>AP-AE-BP-2014</v>
      </c>
      <c r="E10" s="6" t="str">
        <f>IF(ISNA(VLOOKUP(A10,'SIR States'!$A:$A,1,FALSE)),"No","Yes")</f>
        <v>Yes</v>
      </c>
      <c r="H10" s="4" t="str">
        <f>VLOOKUP(D10,'25th May'!$D:$D,1,0)</f>
        <v>AP-AE-BP-2014</v>
      </c>
    </row>
    <row r="11">
      <c r="A11" s="5" t="s">
        <v>17</v>
      </c>
      <c r="B11" s="5" t="s">
        <v>18</v>
      </c>
      <c r="C11" s="5">
        <v>2012.0</v>
      </c>
      <c r="D11" s="5" t="str">
        <f t="shared" si="1"/>
        <v>AP-AE-BP-2012</v>
      </c>
      <c r="E11" s="6" t="str">
        <f>IF(ISNA(VLOOKUP(A11,'SIR States'!$A:$A,1,FALSE)),"No","Yes")</f>
        <v>Yes</v>
      </c>
      <c r="H11" s="4" t="str">
        <f>VLOOKUP(D11,'25th May'!$D:$D,1,0)</f>
        <v>AP-AE-BP-2012</v>
      </c>
    </row>
    <row r="12">
      <c r="A12" s="5" t="s">
        <v>17</v>
      </c>
      <c r="B12" s="5" t="s">
        <v>18</v>
      </c>
      <c r="C12" s="5">
        <v>2011.0</v>
      </c>
      <c r="D12" s="5" t="str">
        <f t="shared" si="1"/>
        <v>AP-AE-BP-2011</v>
      </c>
      <c r="E12" s="6" t="str">
        <f>IF(ISNA(VLOOKUP(A12,'SIR States'!$A:$A,1,FALSE)),"No","Yes")</f>
        <v>Yes</v>
      </c>
      <c r="H12" s="4" t="str">
        <f>VLOOKUP(D12,'25th May'!$D:$D,1,0)</f>
        <v>AP-AE-BP-2011</v>
      </c>
    </row>
    <row r="13">
      <c r="A13" s="5" t="s">
        <v>17</v>
      </c>
      <c r="B13" s="5" t="s">
        <v>18</v>
      </c>
      <c r="C13" s="5">
        <v>2010.0</v>
      </c>
      <c r="D13" s="5" t="str">
        <f t="shared" si="1"/>
        <v>AP-AE-BP-2010</v>
      </c>
      <c r="E13" s="6" t="str">
        <f>IF(ISNA(VLOOKUP(A13,'SIR States'!$A:$A,1,FALSE)),"No","Yes")</f>
        <v>Yes</v>
      </c>
      <c r="H13" s="4" t="str">
        <f>VLOOKUP(D13,'25th May'!$D:$D,1,0)</f>
        <v>AP-AE-BP-2010</v>
      </c>
    </row>
    <row r="14">
      <c r="A14" s="5" t="s">
        <v>19</v>
      </c>
      <c r="B14" s="5" t="s">
        <v>13</v>
      </c>
      <c r="C14" s="5">
        <v>2008.0</v>
      </c>
      <c r="D14" s="5" t="str">
        <f t="shared" si="1"/>
        <v>TR-AE-2008</v>
      </c>
      <c r="E14" s="6" t="str">
        <f>IF(ISNA(VLOOKUP(A14,'SIR States'!$A:$A,1,FALSE)),"No","Yes")</f>
        <v>No</v>
      </c>
      <c r="H14" s="4" t="str">
        <f>VLOOKUP(D14,'25th May'!$D:$D,1,0)</f>
        <v>TR-AE-2008</v>
      </c>
    </row>
    <row r="15">
      <c r="A15" s="5" t="s">
        <v>20</v>
      </c>
      <c r="B15" s="5" t="s">
        <v>21</v>
      </c>
      <c r="C15" s="5">
        <v>2009.0</v>
      </c>
      <c r="D15" s="5" t="str">
        <f t="shared" si="1"/>
        <v>AN-GE-2009</v>
      </c>
      <c r="E15" s="6" t="str">
        <f>IF(ISNA(VLOOKUP(A15,'SIR States'!$A:$A,1,FALSE)),"No","Yes")</f>
        <v>No</v>
      </c>
      <c r="H15" s="4" t="str">
        <f>VLOOKUP(D15,'25th May'!$D:$D,1,0)</f>
        <v>AN-GE-2009</v>
      </c>
    </row>
    <row r="16">
      <c r="A16" s="5" t="s">
        <v>17</v>
      </c>
      <c r="B16" s="5" t="s">
        <v>22</v>
      </c>
      <c r="C16" s="5">
        <v>2021.0</v>
      </c>
      <c r="D16" s="5" t="str">
        <f t="shared" si="1"/>
        <v>AP-GE-BP-2021</v>
      </c>
      <c r="E16" s="6" t="str">
        <f>IF(ISNA(VLOOKUP(A16,'SIR States'!$A:$A,1,FALSE)),"No","Yes")</f>
        <v>Yes</v>
      </c>
      <c r="H16" s="4" t="str">
        <f>VLOOKUP(D16,'25th May'!$D:$D,1,0)</f>
        <v>AP-GE-BP-2021</v>
      </c>
    </row>
    <row r="17">
      <c r="A17" s="5" t="s">
        <v>17</v>
      </c>
      <c r="B17" s="5" t="s">
        <v>22</v>
      </c>
      <c r="C17" s="5">
        <v>2012.0</v>
      </c>
      <c r="D17" s="5" t="str">
        <f t="shared" si="1"/>
        <v>AP-GE-BP-2012</v>
      </c>
      <c r="E17" s="6" t="str">
        <f>IF(ISNA(VLOOKUP(A17,'SIR States'!$A:$A,1,FALSE)),"No","Yes")</f>
        <v>Yes</v>
      </c>
      <c r="H17" s="4" t="str">
        <f>VLOOKUP(D17,'25th May'!$D:$D,1,0)</f>
        <v>AP-GE-BP-2012</v>
      </c>
    </row>
    <row r="18">
      <c r="A18" s="5" t="s">
        <v>17</v>
      </c>
      <c r="B18" s="5" t="s">
        <v>22</v>
      </c>
      <c r="C18" s="5">
        <v>2011.0</v>
      </c>
      <c r="D18" s="5" t="str">
        <f t="shared" si="1"/>
        <v>AP-GE-BP-2011</v>
      </c>
      <c r="E18" s="6" t="str">
        <f>IF(ISNA(VLOOKUP(A18,'SIR States'!$A:$A,1,FALSE)),"No","Yes")</f>
        <v>Yes</v>
      </c>
      <c r="H18" s="4" t="str">
        <f>VLOOKUP(D18,'25th May'!$D:$D,1,0)</f>
        <v>AP-GE-BP-2011</v>
      </c>
    </row>
    <row r="19">
      <c r="A19" s="5" t="s">
        <v>17</v>
      </c>
      <c r="B19" s="5" t="s">
        <v>13</v>
      </c>
      <c r="C19" s="5">
        <v>2009.0</v>
      </c>
      <c r="D19" s="5" t="str">
        <f t="shared" si="1"/>
        <v>AP-AE-2009</v>
      </c>
      <c r="E19" s="6" t="str">
        <f>IF(ISNA(VLOOKUP(A19,'SIR States'!$A:$A,1,FALSE)),"No","Yes")</f>
        <v>Yes</v>
      </c>
      <c r="F19" s="7"/>
      <c r="G19" s="7"/>
      <c r="H19" s="4" t="str">
        <f>VLOOKUP(D19,'25th May'!$D:$D,1,0)</f>
        <v>AP-AE-2009</v>
      </c>
      <c r="I19" s="7"/>
    </row>
    <row r="20">
      <c r="A20" s="5" t="s">
        <v>17</v>
      </c>
      <c r="B20" s="5" t="s">
        <v>21</v>
      </c>
      <c r="C20" s="5">
        <v>2009.0</v>
      </c>
      <c r="D20" s="5" t="str">
        <f t="shared" si="1"/>
        <v>AP-GE-2009</v>
      </c>
      <c r="E20" s="6" t="str">
        <f>IF(ISNA(VLOOKUP(A20,'SIR States'!$A:$A,1,FALSE)),"No","Yes")</f>
        <v>Yes</v>
      </c>
      <c r="F20" s="7"/>
      <c r="G20" s="7"/>
      <c r="H20" s="4" t="str">
        <f>VLOOKUP(D20,'25th May'!$D:$D,1,0)</f>
        <v>AP-GE-2009</v>
      </c>
      <c r="I20" s="7"/>
    </row>
    <row r="21">
      <c r="A21" s="5" t="s">
        <v>23</v>
      </c>
      <c r="B21" s="5" t="s">
        <v>13</v>
      </c>
      <c r="C21" s="5">
        <v>2009.0</v>
      </c>
      <c r="D21" s="5" t="str">
        <f t="shared" si="1"/>
        <v>AR-AE-2009</v>
      </c>
      <c r="E21" s="6" t="str">
        <f>IF(ISNA(VLOOKUP(A21,'SIR States'!$A:$A,1,FALSE)),"No","Yes")</f>
        <v>No</v>
      </c>
      <c r="H21" s="4" t="str">
        <f>VLOOKUP(D21,'25th May'!$D:$D,1,0)</f>
        <v>AR-AE-2009</v>
      </c>
    </row>
    <row r="22">
      <c r="A22" s="5" t="s">
        <v>23</v>
      </c>
      <c r="B22" s="5" t="s">
        <v>21</v>
      </c>
      <c r="C22" s="5">
        <v>2009.0</v>
      </c>
      <c r="D22" s="5" t="str">
        <f t="shared" si="1"/>
        <v>AR-GE-2009</v>
      </c>
      <c r="E22" s="6" t="str">
        <f>IF(ISNA(VLOOKUP(A22,'SIR States'!$A:$A,1,FALSE)),"No","Yes")</f>
        <v>No</v>
      </c>
      <c r="H22" s="4" t="str">
        <f>VLOOKUP(D22,'25th May'!$D:$D,1,0)</f>
        <v>AR-GE-2009</v>
      </c>
    </row>
    <row r="23">
      <c r="A23" s="5" t="s">
        <v>23</v>
      </c>
      <c r="B23" s="5" t="s">
        <v>18</v>
      </c>
      <c r="C23" s="5">
        <v>2023.0</v>
      </c>
      <c r="D23" s="5" t="str">
        <f t="shared" si="1"/>
        <v>AR-AE-BP-2023</v>
      </c>
      <c r="E23" s="6" t="str">
        <f>IF(ISNA(VLOOKUP(A23,'SIR States'!$A:$A,1,FALSE)),"No","Yes")</f>
        <v>No</v>
      </c>
      <c r="H23" s="4" t="str">
        <f>VLOOKUP(D23,'25th May'!$D:$D,1,0)</f>
        <v>AR-AE-BP-2023</v>
      </c>
    </row>
    <row r="24">
      <c r="A24" s="5" t="s">
        <v>23</v>
      </c>
      <c r="B24" s="5" t="s">
        <v>18</v>
      </c>
      <c r="C24" s="5">
        <v>2019.0</v>
      </c>
      <c r="D24" s="5" t="str">
        <f t="shared" si="1"/>
        <v>AR-AE-BP-2019</v>
      </c>
      <c r="E24" s="6" t="str">
        <f>IF(ISNA(VLOOKUP(A24,'SIR States'!$A:$A,1,FALSE)),"No","Yes")</f>
        <v>No</v>
      </c>
      <c r="H24" s="4" t="str">
        <f>VLOOKUP(D24,'25th May'!$D:$D,1,0)</f>
        <v>AR-AE-BP-2019</v>
      </c>
    </row>
    <row r="25">
      <c r="A25" s="5" t="s">
        <v>23</v>
      </c>
      <c r="B25" s="5" t="s">
        <v>18</v>
      </c>
      <c r="C25" s="5">
        <v>2017.0</v>
      </c>
      <c r="D25" s="5" t="str">
        <f t="shared" si="1"/>
        <v>AR-AE-BP-2017</v>
      </c>
      <c r="E25" s="6" t="str">
        <f>IF(ISNA(VLOOKUP(A25,'SIR States'!$A:$A,1,FALSE)),"No","Yes")</f>
        <v>No</v>
      </c>
      <c r="H25" s="4" t="str">
        <f>VLOOKUP(D25,'25th May'!$D:$D,1,0)</f>
        <v>AR-AE-BP-2017</v>
      </c>
    </row>
    <row r="26">
      <c r="A26" s="5" t="s">
        <v>23</v>
      </c>
      <c r="B26" s="5" t="s">
        <v>18</v>
      </c>
      <c r="C26" s="5">
        <v>2016.0</v>
      </c>
      <c r="D26" s="5" t="str">
        <f t="shared" si="1"/>
        <v>AR-AE-BP-2016</v>
      </c>
      <c r="E26" s="6" t="str">
        <f>IF(ISNA(VLOOKUP(A26,'SIR States'!$A:$A,1,FALSE)),"No","Yes")</f>
        <v>No</v>
      </c>
      <c r="H26" s="4" t="str">
        <f>VLOOKUP(D26,'25th May'!$D:$D,1,0)</f>
        <v>AR-AE-BP-2016</v>
      </c>
    </row>
    <row r="27">
      <c r="A27" s="5" t="s">
        <v>23</v>
      </c>
      <c r="B27" s="5" t="s">
        <v>18</v>
      </c>
      <c r="C27" s="5">
        <v>2014.0</v>
      </c>
      <c r="D27" s="5" t="str">
        <f t="shared" si="1"/>
        <v>AR-AE-BP-2014</v>
      </c>
      <c r="E27" s="6" t="str">
        <f>IF(ISNA(VLOOKUP(A27,'SIR States'!$A:$A,1,FALSE)),"No","Yes")</f>
        <v>No</v>
      </c>
      <c r="H27" s="4" t="str">
        <f>VLOOKUP(D27,'25th May'!$D:$D,1,0)</f>
        <v>AR-AE-BP-2014</v>
      </c>
    </row>
    <row r="28">
      <c r="A28" s="5" t="s">
        <v>23</v>
      </c>
      <c r="B28" s="5" t="s">
        <v>18</v>
      </c>
      <c r="C28" s="5">
        <v>2013.0</v>
      </c>
      <c r="D28" s="5" t="str">
        <f t="shared" si="1"/>
        <v>AR-AE-BP-2013</v>
      </c>
      <c r="E28" s="6" t="str">
        <f>IF(ISNA(VLOOKUP(A28,'SIR States'!$A:$A,1,FALSE)),"No","Yes")</f>
        <v>No</v>
      </c>
      <c r="H28" s="4" t="str">
        <f>VLOOKUP(D28,'25th May'!$D:$D,1,0)</f>
        <v>AR-AE-BP-2013</v>
      </c>
    </row>
    <row r="29">
      <c r="A29" s="5" t="s">
        <v>23</v>
      </c>
      <c r="B29" s="5" t="s">
        <v>18</v>
      </c>
      <c r="C29" s="5">
        <v>2011.0</v>
      </c>
      <c r="D29" s="5" t="str">
        <f t="shared" si="1"/>
        <v>AR-AE-BP-2011</v>
      </c>
      <c r="E29" s="6" t="str">
        <f>IF(ISNA(VLOOKUP(A29,'SIR States'!$A:$A,1,FALSE)),"No","Yes")</f>
        <v>No</v>
      </c>
      <c r="H29" s="4" t="str">
        <f>VLOOKUP(D29,'25th May'!$D:$D,1,0)</f>
        <v>AR-AE-BP-2011</v>
      </c>
    </row>
    <row r="30">
      <c r="A30" s="5" t="s">
        <v>24</v>
      </c>
      <c r="B30" s="5" t="s">
        <v>21</v>
      </c>
      <c r="C30" s="5">
        <v>2009.0</v>
      </c>
      <c r="D30" s="5" t="str">
        <f t="shared" si="1"/>
        <v>DD-GE-2009</v>
      </c>
      <c r="E30" s="6" t="str">
        <f>IF(ISNA(VLOOKUP(A30,'SIR States'!$A:$A,1,FALSE)),"No","Yes")</f>
        <v>No</v>
      </c>
      <c r="H30" s="4" t="str">
        <f>VLOOKUP(D30,'25th May'!$D:$D,1,0)</f>
        <v>DD-GE-2009</v>
      </c>
    </row>
    <row r="31">
      <c r="A31" s="5" t="s">
        <v>12</v>
      </c>
      <c r="B31" s="5" t="s">
        <v>21</v>
      </c>
      <c r="C31" s="5">
        <v>2009.0</v>
      </c>
      <c r="D31" s="5" t="str">
        <f t="shared" si="1"/>
        <v>DL-GE-2009</v>
      </c>
      <c r="E31" s="6" t="str">
        <f>IF(ISNA(VLOOKUP(A31,'SIR States'!$A:$A,1,FALSE)),"No","Yes")</f>
        <v>No</v>
      </c>
      <c r="H31" s="4" t="str">
        <f>VLOOKUP(D31,'25th May'!$D:$D,1,0)</f>
        <v>DL-GE-2009</v>
      </c>
    </row>
    <row r="32">
      <c r="A32" s="5" t="s">
        <v>25</v>
      </c>
      <c r="B32" s="5" t="s">
        <v>21</v>
      </c>
      <c r="C32" s="5">
        <v>2009.0</v>
      </c>
      <c r="D32" s="5" t="str">
        <f t="shared" si="1"/>
        <v>DN-GE-2009</v>
      </c>
      <c r="E32" s="6" t="str">
        <f>IF(ISNA(VLOOKUP(A32,'SIR States'!$A:$A,1,FALSE)),"No","Yes")</f>
        <v>No</v>
      </c>
      <c r="H32" s="4" t="str">
        <f>VLOOKUP(D32,'25th May'!$D:$D,1,0)</f>
        <v>DN-GE-2009</v>
      </c>
    </row>
    <row r="33">
      <c r="A33" s="5" t="s">
        <v>26</v>
      </c>
      <c r="B33" s="5" t="s">
        <v>18</v>
      </c>
      <c r="C33" s="5">
        <v>2024.0</v>
      </c>
      <c r="D33" s="5" t="str">
        <f t="shared" si="1"/>
        <v>AS-AE-BP-2024</v>
      </c>
      <c r="E33" s="6" t="str">
        <f>IF(ISNA(VLOOKUP(A33,'SIR States'!$A:$A,1,FALSE)),"No","Yes")</f>
        <v>No</v>
      </c>
      <c r="H33" s="4" t="str">
        <f>VLOOKUP(D33,'25th May'!$D:$D,1,0)</f>
        <v>AS-AE-BP-2024</v>
      </c>
    </row>
    <row r="34">
      <c r="A34" s="5" t="s">
        <v>26</v>
      </c>
      <c r="B34" s="5" t="s">
        <v>18</v>
      </c>
      <c r="C34" s="5">
        <v>2022.0</v>
      </c>
      <c r="D34" s="5" t="str">
        <f t="shared" si="1"/>
        <v>AS-AE-BP-2022</v>
      </c>
      <c r="E34" s="6" t="str">
        <f>IF(ISNA(VLOOKUP(A34,'SIR States'!$A:$A,1,FALSE)),"No","Yes")</f>
        <v>No</v>
      </c>
      <c r="H34" s="4" t="str">
        <f>VLOOKUP(D34,'25th May'!$D:$D,1,0)</f>
        <v>AS-AE-BP-2022</v>
      </c>
    </row>
    <row r="35">
      <c r="A35" s="5" t="s">
        <v>26</v>
      </c>
      <c r="B35" s="5" t="s">
        <v>18</v>
      </c>
      <c r="C35" s="5">
        <v>2021.0</v>
      </c>
      <c r="D35" s="5" t="str">
        <f t="shared" si="1"/>
        <v>AS-AE-BP-2021</v>
      </c>
      <c r="E35" s="6" t="str">
        <f>IF(ISNA(VLOOKUP(A35,'SIR States'!$A:$A,1,FALSE)),"No","Yes")</f>
        <v>No</v>
      </c>
      <c r="H35" s="4" t="str">
        <f>VLOOKUP(D35,'25th May'!$D:$D,1,0)</f>
        <v>AS-AE-BP-2021</v>
      </c>
    </row>
    <row r="36">
      <c r="A36" s="5" t="s">
        <v>26</v>
      </c>
      <c r="B36" s="5" t="s">
        <v>18</v>
      </c>
      <c r="C36" s="5">
        <v>2019.0</v>
      </c>
      <c r="D36" s="5" t="str">
        <f t="shared" si="1"/>
        <v>AS-AE-BP-2019</v>
      </c>
      <c r="E36" s="6" t="str">
        <f>IF(ISNA(VLOOKUP(A36,'SIR States'!$A:$A,1,FALSE)),"No","Yes")</f>
        <v>No</v>
      </c>
      <c r="H36" s="4" t="str">
        <f>VLOOKUP(D36,'25th May'!$D:$D,1,0)</f>
        <v>AS-AE-BP-2019</v>
      </c>
    </row>
    <row r="37">
      <c r="A37" s="5" t="s">
        <v>26</v>
      </c>
      <c r="B37" s="5" t="s">
        <v>18</v>
      </c>
      <c r="C37" s="5">
        <v>2017.0</v>
      </c>
      <c r="D37" s="5" t="str">
        <f t="shared" si="1"/>
        <v>AS-AE-BP-2017</v>
      </c>
      <c r="E37" s="6" t="str">
        <f>IF(ISNA(VLOOKUP(A37,'SIR States'!$A:$A,1,FALSE)),"No","Yes")</f>
        <v>No</v>
      </c>
      <c r="H37" s="4" t="str">
        <f>VLOOKUP(D37,'25th May'!$D:$D,1,0)</f>
        <v>AS-AE-BP-2017</v>
      </c>
    </row>
    <row r="38">
      <c r="A38" s="5" t="s">
        <v>26</v>
      </c>
      <c r="B38" s="5" t="s">
        <v>18</v>
      </c>
      <c r="C38" s="5">
        <v>2016.0</v>
      </c>
      <c r="D38" s="5" t="str">
        <f t="shared" si="1"/>
        <v>AS-AE-BP-2016</v>
      </c>
      <c r="E38" s="6" t="str">
        <f>IF(ISNA(VLOOKUP(A38,'SIR States'!$A:$A,1,FALSE)),"No","Yes")</f>
        <v>No</v>
      </c>
      <c r="H38" s="4" t="str">
        <f>VLOOKUP(D38,'25th May'!$D:$D,1,0)</f>
        <v>AS-AE-BP-2016</v>
      </c>
    </row>
    <row r="39">
      <c r="A39" s="5" t="s">
        <v>26</v>
      </c>
      <c r="B39" s="5" t="s">
        <v>18</v>
      </c>
      <c r="C39" s="5">
        <v>2014.0</v>
      </c>
      <c r="D39" s="5" t="str">
        <f t="shared" si="1"/>
        <v>AS-AE-BP-2014</v>
      </c>
      <c r="E39" s="6" t="str">
        <f>IF(ISNA(VLOOKUP(A39,'SIR States'!$A:$A,1,FALSE)),"No","Yes")</f>
        <v>No</v>
      </c>
      <c r="H39" s="4" t="str">
        <f>VLOOKUP(D39,'25th May'!$D:$D,1,0)</f>
        <v>AS-AE-BP-2014</v>
      </c>
    </row>
    <row r="40">
      <c r="A40" s="5" t="s">
        <v>26</v>
      </c>
      <c r="B40" s="5" t="s">
        <v>18</v>
      </c>
      <c r="C40" s="5">
        <v>2013.0</v>
      </c>
      <c r="D40" s="5" t="str">
        <f t="shared" si="1"/>
        <v>AS-AE-BP-2013</v>
      </c>
      <c r="E40" s="6" t="str">
        <f>IF(ISNA(VLOOKUP(A40,'SIR States'!$A:$A,1,FALSE)),"No","Yes")</f>
        <v>No</v>
      </c>
      <c r="H40" s="4" t="str">
        <f>VLOOKUP(D40,'25th May'!$D:$D,1,0)</f>
        <v>AS-AE-BP-2013</v>
      </c>
    </row>
    <row r="41">
      <c r="A41" s="5" t="s">
        <v>26</v>
      </c>
      <c r="B41" s="5" t="s">
        <v>18</v>
      </c>
      <c r="C41" s="5">
        <v>2009.0</v>
      </c>
      <c r="D41" s="5" t="str">
        <f t="shared" si="1"/>
        <v>AS-AE-BP-2009</v>
      </c>
      <c r="E41" s="6" t="str">
        <f>IF(ISNA(VLOOKUP(A41,'SIR States'!$A:$A,1,FALSE)),"No","Yes")</f>
        <v>No</v>
      </c>
      <c r="H41" s="4" t="str">
        <f>VLOOKUP(D41,'25th May'!$D:$D,1,0)</f>
        <v>AS-AE-BP-2009</v>
      </c>
    </row>
    <row r="42">
      <c r="A42" s="5" t="s">
        <v>26</v>
      </c>
      <c r="B42" s="5" t="s">
        <v>22</v>
      </c>
      <c r="C42" s="5">
        <v>2016.0</v>
      </c>
      <c r="D42" s="5" t="str">
        <f t="shared" si="1"/>
        <v>AS-GE-BP-2016</v>
      </c>
      <c r="E42" s="6" t="str">
        <f>IF(ISNA(VLOOKUP(A42,'SIR States'!$A:$A,1,FALSE)),"No","Yes")</f>
        <v>No</v>
      </c>
      <c r="H42" s="4" t="str">
        <f>VLOOKUP(D42,'25th May'!$D:$D,1,0)</f>
        <v>AS-GE-BP-2016</v>
      </c>
    </row>
    <row r="43">
      <c r="A43" s="5" t="s">
        <v>27</v>
      </c>
      <c r="B43" s="5" t="s">
        <v>21</v>
      </c>
      <c r="C43" s="5">
        <v>2009.0</v>
      </c>
      <c r="D43" s="5" t="str">
        <f t="shared" si="1"/>
        <v>GJ-GE-2009</v>
      </c>
      <c r="E43" s="6" t="str">
        <f>IF(ISNA(VLOOKUP(A43,'SIR States'!$A:$A,1,FALSE)),"No","Yes")</f>
        <v>No</v>
      </c>
      <c r="H43" s="4" t="str">
        <f>VLOOKUP(D43,'25th May'!$D:$D,1,0)</f>
        <v>GJ-GE-2009</v>
      </c>
    </row>
    <row r="44">
      <c r="A44" s="5" t="s">
        <v>28</v>
      </c>
      <c r="B44" s="5" t="s">
        <v>18</v>
      </c>
      <c r="C44" s="5">
        <v>2024.0</v>
      </c>
      <c r="D44" s="5" t="str">
        <f t="shared" si="1"/>
        <v>BR-AE-BP-2024</v>
      </c>
      <c r="E44" s="6" t="str">
        <f>IF(ISNA(VLOOKUP(A44,'SIR States'!$A:$A,1,FALSE)),"No","Yes")</f>
        <v>No</v>
      </c>
      <c r="H44" s="4" t="str">
        <f>VLOOKUP(D44,'25th May'!$D:$D,1,0)</f>
        <v>BR-AE-BP-2024</v>
      </c>
    </row>
    <row r="45">
      <c r="A45" s="5" t="s">
        <v>28</v>
      </c>
      <c r="B45" s="5" t="s">
        <v>18</v>
      </c>
      <c r="C45" s="5">
        <v>2022.0</v>
      </c>
      <c r="D45" s="5" t="str">
        <f t="shared" si="1"/>
        <v>BR-AE-BP-2022</v>
      </c>
      <c r="E45" s="6" t="str">
        <f>IF(ISNA(VLOOKUP(A45,'SIR States'!$A:$A,1,FALSE)),"No","Yes")</f>
        <v>No</v>
      </c>
      <c r="H45" s="4" t="str">
        <f>VLOOKUP(D45,'25th May'!$D:$D,1,0)</f>
        <v>BR-AE-BP-2022</v>
      </c>
    </row>
    <row r="46">
      <c r="A46" s="5" t="s">
        <v>28</v>
      </c>
      <c r="B46" s="5" t="s">
        <v>18</v>
      </c>
      <c r="C46" s="5">
        <v>2021.0</v>
      </c>
      <c r="D46" s="5" t="str">
        <f t="shared" si="1"/>
        <v>BR-AE-BP-2021</v>
      </c>
      <c r="E46" s="6" t="str">
        <f>IF(ISNA(VLOOKUP(A46,'SIR States'!$A:$A,1,FALSE)),"No","Yes")</f>
        <v>No</v>
      </c>
      <c r="H46" s="4" t="str">
        <f>VLOOKUP(D46,'25th May'!$D:$D,1,0)</f>
        <v>BR-AE-BP-2021</v>
      </c>
    </row>
    <row r="47">
      <c r="A47" s="5" t="s">
        <v>28</v>
      </c>
      <c r="B47" s="5" t="s">
        <v>18</v>
      </c>
      <c r="C47" s="5">
        <v>2019.0</v>
      </c>
      <c r="D47" s="5" t="str">
        <f t="shared" si="1"/>
        <v>BR-AE-BP-2019</v>
      </c>
      <c r="E47" s="6" t="str">
        <f>IF(ISNA(VLOOKUP(A47,'SIR States'!$A:$A,1,FALSE)),"No","Yes")</f>
        <v>No</v>
      </c>
      <c r="H47" s="4" t="str">
        <f>VLOOKUP(D47,'25th May'!$D:$D,1,0)</f>
        <v>BR-AE-BP-2019</v>
      </c>
    </row>
    <row r="48">
      <c r="A48" s="5" t="s">
        <v>28</v>
      </c>
      <c r="B48" s="5" t="s">
        <v>18</v>
      </c>
      <c r="C48" s="5">
        <v>2018.0</v>
      </c>
      <c r="D48" s="5" t="str">
        <f t="shared" si="1"/>
        <v>BR-AE-BP-2018</v>
      </c>
      <c r="E48" s="6" t="str">
        <f>IF(ISNA(VLOOKUP(A48,'SIR States'!$A:$A,1,FALSE)),"No","Yes")</f>
        <v>No</v>
      </c>
      <c r="H48" s="4" t="str">
        <f>VLOOKUP(D48,'25th May'!$D:$D,1,0)</f>
        <v>BR-AE-BP-2018</v>
      </c>
    </row>
    <row r="49">
      <c r="A49" s="5" t="s">
        <v>28</v>
      </c>
      <c r="B49" s="5" t="s">
        <v>18</v>
      </c>
      <c r="C49" s="5">
        <v>2017.0</v>
      </c>
      <c r="D49" s="5" t="str">
        <f t="shared" si="1"/>
        <v>BR-AE-BP-2017</v>
      </c>
      <c r="E49" s="6" t="str">
        <f>IF(ISNA(VLOOKUP(A49,'SIR States'!$A:$A,1,FALSE)),"No","Yes")</f>
        <v>No</v>
      </c>
      <c r="H49" s="4" t="str">
        <f>VLOOKUP(D49,'25th May'!$D:$D,1,0)</f>
        <v>BR-AE-BP-2017</v>
      </c>
    </row>
    <row r="50">
      <c r="A50" s="5" t="s">
        <v>28</v>
      </c>
      <c r="B50" s="5" t="s">
        <v>18</v>
      </c>
      <c r="C50" s="5">
        <v>2016.0</v>
      </c>
      <c r="D50" s="5" t="str">
        <f t="shared" si="1"/>
        <v>BR-AE-BP-2016</v>
      </c>
      <c r="E50" s="6" t="str">
        <f>IF(ISNA(VLOOKUP(A50,'SIR States'!$A:$A,1,FALSE)),"No","Yes")</f>
        <v>No</v>
      </c>
      <c r="H50" s="4" t="str">
        <f>VLOOKUP(D50,'25th May'!$D:$D,1,0)</f>
        <v>BR-AE-BP-2016</v>
      </c>
    </row>
    <row r="51">
      <c r="A51" s="5" t="s">
        <v>28</v>
      </c>
      <c r="B51" s="5" t="s">
        <v>18</v>
      </c>
      <c r="C51" s="5">
        <v>2014.0</v>
      </c>
      <c r="D51" s="5" t="str">
        <f t="shared" si="1"/>
        <v>BR-AE-BP-2014</v>
      </c>
      <c r="E51" s="6" t="str">
        <f>IF(ISNA(VLOOKUP(A51,'SIR States'!$A:$A,1,FALSE)),"No","Yes")</f>
        <v>No</v>
      </c>
      <c r="H51" s="4" t="str">
        <f>VLOOKUP(D51,'25th May'!$D:$D,1,0)</f>
        <v>BR-AE-BP-2014</v>
      </c>
    </row>
    <row r="52">
      <c r="A52" s="5" t="s">
        <v>28</v>
      </c>
      <c r="B52" s="5" t="s">
        <v>18</v>
      </c>
      <c r="C52" s="5">
        <v>2013.0</v>
      </c>
      <c r="D52" s="5" t="str">
        <f t="shared" si="1"/>
        <v>BR-AE-BP-2013</v>
      </c>
      <c r="E52" s="6" t="str">
        <f>IF(ISNA(VLOOKUP(A52,'SIR States'!$A:$A,1,FALSE)),"No","Yes")</f>
        <v>No</v>
      </c>
      <c r="H52" s="4" t="str">
        <f>VLOOKUP(D52,'25th May'!$D:$D,1,0)</f>
        <v>BR-AE-BP-2013</v>
      </c>
    </row>
    <row r="53">
      <c r="A53" s="5" t="s">
        <v>28</v>
      </c>
      <c r="B53" s="5" t="s">
        <v>22</v>
      </c>
      <c r="C53" s="5">
        <v>2020.0</v>
      </c>
      <c r="D53" s="5" t="str">
        <f t="shared" si="1"/>
        <v>BR-GE-BP-2020</v>
      </c>
      <c r="E53" s="6" t="str">
        <f>IF(ISNA(VLOOKUP(A53,'SIR States'!$A:$A,1,FALSE)),"No","Yes")</f>
        <v>No</v>
      </c>
      <c r="H53" s="4" t="str">
        <f>VLOOKUP(D53,'25th May'!$D:$D,1,0)</f>
        <v>BR-GE-BP-2020</v>
      </c>
    </row>
    <row r="54">
      <c r="A54" s="5" t="s">
        <v>28</v>
      </c>
      <c r="B54" s="5" t="s">
        <v>22</v>
      </c>
      <c r="C54" s="5">
        <v>2019.0</v>
      </c>
      <c r="D54" s="5" t="str">
        <f t="shared" si="1"/>
        <v>BR-GE-BP-2019</v>
      </c>
      <c r="E54" s="6" t="str">
        <f>IF(ISNA(VLOOKUP(A54,'SIR States'!$A:$A,1,FALSE)),"No","Yes")</f>
        <v>No</v>
      </c>
      <c r="H54" s="4" t="str">
        <f>VLOOKUP(D54,'25th May'!$D:$D,1,0)</f>
        <v>BR-GE-BP-2019</v>
      </c>
    </row>
    <row r="55">
      <c r="A55" s="5" t="s">
        <v>28</v>
      </c>
      <c r="B55" s="5" t="s">
        <v>22</v>
      </c>
      <c r="C55" s="5">
        <v>2018.0</v>
      </c>
      <c r="D55" s="5" t="str">
        <f t="shared" si="1"/>
        <v>BR-GE-BP-2018</v>
      </c>
      <c r="E55" s="6" t="str">
        <f>IF(ISNA(VLOOKUP(A55,'SIR States'!$A:$A,1,FALSE)),"No","Yes")</f>
        <v>No</v>
      </c>
      <c r="H55" s="4" t="str">
        <f>VLOOKUP(D55,'25th May'!$D:$D,1,0)</f>
        <v>BR-GE-BP-2018</v>
      </c>
    </row>
    <row r="56">
      <c r="A56" s="5" t="s">
        <v>28</v>
      </c>
      <c r="B56" s="5" t="s">
        <v>22</v>
      </c>
      <c r="C56" s="5">
        <v>2013.0</v>
      </c>
      <c r="D56" s="5" t="str">
        <f t="shared" si="1"/>
        <v>BR-GE-BP-2013</v>
      </c>
      <c r="E56" s="6" t="str">
        <f>IF(ISNA(VLOOKUP(A56,'SIR States'!$A:$A,1,FALSE)),"No","Yes")</f>
        <v>No</v>
      </c>
      <c r="H56" s="4" t="str">
        <f>VLOOKUP(D56,'25th May'!$D:$D,1,0)</f>
        <v>BR-GE-BP-2013</v>
      </c>
    </row>
    <row r="57">
      <c r="A57" s="5" t="s">
        <v>28</v>
      </c>
      <c r="B57" s="5" t="s">
        <v>22</v>
      </c>
      <c r="C57" s="5">
        <v>2010.0</v>
      </c>
      <c r="D57" s="5" t="str">
        <f t="shared" si="1"/>
        <v>BR-GE-BP-2010</v>
      </c>
      <c r="E57" s="6" t="str">
        <f>IF(ISNA(VLOOKUP(A57,'SIR States'!$A:$A,1,FALSE)),"No","Yes")</f>
        <v>No</v>
      </c>
      <c r="H57" s="4" t="str">
        <f>VLOOKUP(D57,'25th May'!$D:$D,1,0)</f>
        <v>BR-GE-BP-2010</v>
      </c>
    </row>
    <row r="58">
      <c r="A58" s="5" t="s">
        <v>29</v>
      </c>
      <c r="B58" s="5" t="s">
        <v>18</v>
      </c>
      <c r="C58" s="5">
        <v>2024.0</v>
      </c>
      <c r="D58" s="5" t="str">
        <f t="shared" si="1"/>
        <v>CT-AE-BP-2024</v>
      </c>
      <c r="E58" s="6" t="str">
        <f>IF(ISNA(VLOOKUP(A58,'SIR States'!$A:$A,1,FALSE)),"No","Yes")</f>
        <v>No</v>
      </c>
      <c r="H58" s="4" t="str">
        <f>VLOOKUP(D58,'25th May'!$D:$D,1,0)</f>
        <v>CT-AE-BP-2024</v>
      </c>
    </row>
    <row r="59">
      <c r="A59" s="5" t="s">
        <v>29</v>
      </c>
      <c r="B59" s="5" t="s">
        <v>18</v>
      </c>
      <c r="C59" s="5">
        <v>2022.0</v>
      </c>
      <c r="D59" s="5" t="str">
        <f t="shared" si="1"/>
        <v>CT-AE-BP-2022</v>
      </c>
      <c r="E59" s="6" t="str">
        <f>IF(ISNA(VLOOKUP(A59,'SIR States'!$A:$A,1,FALSE)),"No","Yes")</f>
        <v>No</v>
      </c>
      <c r="H59" s="4" t="str">
        <f>VLOOKUP(D59,'25th May'!$D:$D,1,0)</f>
        <v>CT-AE-BP-2022</v>
      </c>
    </row>
    <row r="60">
      <c r="A60" s="5" t="s">
        <v>29</v>
      </c>
      <c r="B60" s="5" t="s">
        <v>18</v>
      </c>
      <c r="C60" s="5">
        <v>2020.0</v>
      </c>
      <c r="D60" s="5" t="str">
        <f t="shared" si="1"/>
        <v>CT-AE-BP-2020</v>
      </c>
      <c r="E60" s="6" t="str">
        <f>IF(ISNA(VLOOKUP(A60,'SIR States'!$A:$A,1,FALSE)),"No","Yes")</f>
        <v>No</v>
      </c>
      <c r="H60" s="4" t="str">
        <f>VLOOKUP(D60,'25th May'!$D:$D,1,0)</f>
        <v>CT-AE-BP-2020</v>
      </c>
    </row>
    <row r="61">
      <c r="A61" s="5" t="s">
        <v>29</v>
      </c>
      <c r="B61" s="5" t="s">
        <v>18</v>
      </c>
      <c r="C61" s="5">
        <v>2019.0</v>
      </c>
      <c r="D61" s="5" t="str">
        <f t="shared" si="1"/>
        <v>CT-AE-BP-2019</v>
      </c>
      <c r="E61" s="6" t="str">
        <f>IF(ISNA(VLOOKUP(A61,'SIR States'!$A:$A,1,FALSE)),"No","Yes")</f>
        <v>No</v>
      </c>
      <c r="H61" s="4" t="str">
        <f>VLOOKUP(D61,'25th May'!$D:$D,1,0)</f>
        <v>CT-AE-BP-2019</v>
      </c>
    </row>
    <row r="62">
      <c r="A62" s="5" t="s">
        <v>29</v>
      </c>
      <c r="B62" s="5" t="s">
        <v>18</v>
      </c>
      <c r="C62" s="5">
        <v>2014.0</v>
      </c>
      <c r="D62" s="5" t="str">
        <f t="shared" si="1"/>
        <v>CT-AE-BP-2014</v>
      </c>
      <c r="E62" s="6" t="str">
        <f>IF(ISNA(VLOOKUP(A62,'SIR States'!$A:$A,1,FALSE)),"No","Yes")</f>
        <v>No</v>
      </c>
      <c r="H62" s="4" t="str">
        <f>VLOOKUP(D62,'25th May'!$D:$D,1,0)</f>
        <v>CT-AE-BP-2014</v>
      </c>
    </row>
    <row r="63">
      <c r="A63" s="5" t="s">
        <v>29</v>
      </c>
      <c r="B63" s="5" t="s">
        <v>18</v>
      </c>
      <c r="C63" s="5">
        <v>2011.0</v>
      </c>
      <c r="D63" s="5" t="str">
        <f t="shared" si="1"/>
        <v>CT-AE-BP-2011</v>
      </c>
      <c r="E63" s="6" t="str">
        <f>IF(ISNA(VLOOKUP(A63,'SIR States'!$A:$A,1,FALSE)),"No","Yes")</f>
        <v>No</v>
      </c>
      <c r="H63" s="4" t="str">
        <f>VLOOKUP(D63,'25th May'!$D:$D,1,0)</f>
        <v>CT-AE-BP-2011</v>
      </c>
    </row>
    <row r="64">
      <c r="A64" s="5" t="s">
        <v>29</v>
      </c>
      <c r="B64" s="5" t="s">
        <v>18</v>
      </c>
      <c r="C64" s="5">
        <v>2010.0</v>
      </c>
      <c r="D64" s="5" t="str">
        <f t="shared" si="1"/>
        <v>CT-AE-BP-2010</v>
      </c>
      <c r="E64" s="6" t="str">
        <f>IF(ISNA(VLOOKUP(A64,'SIR States'!$A:$A,1,FALSE)),"No","Yes")</f>
        <v>No</v>
      </c>
      <c r="H64" s="4" t="str">
        <f>VLOOKUP(D64,'25th May'!$D:$D,1,0)</f>
        <v>CT-AE-BP-2010</v>
      </c>
    </row>
    <row r="65">
      <c r="A65" s="5" t="s">
        <v>29</v>
      </c>
      <c r="B65" s="5" t="s">
        <v>18</v>
      </c>
      <c r="C65" s="5">
        <v>2009.0</v>
      </c>
      <c r="D65" s="5" t="str">
        <f t="shared" si="1"/>
        <v>CT-AE-BP-2009</v>
      </c>
      <c r="E65" s="6" t="str">
        <f>IF(ISNA(VLOOKUP(A65,'SIR States'!$A:$A,1,FALSE)),"No","Yes")</f>
        <v>No</v>
      </c>
      <c r="H65" s="4" t="str">
        <f>VLOOKUP(D65,'25th May'!$D:$D,1,0)</f>
        <v>CT-AE-BP-2009</v>
      </c>
    </row>
    <row r="66">
      <c r="A66" s="5" t="s">
        <v>30</v>
      </c>
      <c r="B66" s="5" t="s">
        <v>13</v>
      </c>
      <c r="C66" s="5">
        <v>2009.0</v>
      </c>
      <c r="D66" s="5" t="str">
        <f t="shared" si="1"/>
        <v>JH-AE-2009</v>
      </c>
      <c r="E66" s="6" t="str">
        <f>IF(ISNA(VLOOKUP(A66,'SIR States'!$A:$A,1,FALSE)),"No","Yes")</f>
        <v>Yes</v>
      </c>
      <c r="F66" s="7"/>
      <c r="G66" s="7"/>
      <c r="H66" s="4" t="str">
        <f>VLOOKUP(D66,'25th May'!$D:$D,1,0)</f>
        <v>JH-AE-2009</v>
      </c>
      <c r="I66" s="7"/>
    </row>
    <row r="67">
      <c r="A67" s="5" t="s">
        <v>30</v>
      </c>
      <c r="B67" s="5" t="s">
        <v>21</v>
      </c>
      <c r="C67" s="5">
        <v>2009.0</v>
      </c>
      <c r="D67" s="5" t="str">
        <f t="shared" si="1"/>
        <v>JH-GE-2009</v>
      </c>
      <c r="E67" s="6" t="str">
        <f>IF(ISNA(VLOOKUP(A67,'SIR States'!$A:$A,1,FALSE)),"No","Yes")</f>
        <v>Yes</v>
      </c>
      <c r="F67" s="7"/>
      <c r="G67" s="7"/>
      <c r="H67" s="4" t="str">
        <f>VLOOKUP(D67,'25th May'!$D:$D,1,0)</f>
        <v>JH-GE-2009</v>
      </c>
      <c r="I67" s="7"/>
    </row>
    <row r="68">
      <c r="A68" s="5" t="s">
        <v>31</v>
      </c>
      <c r="B68" s="5" t="s">
        <v>21</v>
      </c>
      <c r="C68" s="5">
        <v>2009.0</v>
      </c>
      <c r="D68" s="5" t="str">
        <f t="shared" si="1"/>
        <v>LA-GE-2009</v>
      </c>
      <c r="E68" s="6" t="str">
        <f>IF(ISNA(VLOOKUP(A68,'SIR States'!$A:$A,1,FALSE)),"No","Yes")</f>
        <v>Yes</v>
      </c>
      <c r="F68" s="7"/>
      <c r="G68" s="7"/>
      <c r="H68" s="4" t="str">
        <f>VLOOKUP(D68,'25th May'!$D:$D,1,0)</f>
        <v>LA-GE-2009</v>
      </c>
      <c r="I68" s="7"/>
    </row>
    <row r="69">
      <c r="A69" s="5" t="s">
        <v>32</v>
      </c>
      <c r="B69" s="5" t="s">
        <v>21</v>
      </c>
      <c r="C69" s="5">
        <v>2009.0</v>
      </c>
      <c r="D69" s="5" t="str">
        <f t="shared" si="1"/>
        <v>LD-GE-2009</v>
      </c>
      <c r="E69" s="6" t="str">
        <f>IF(ISNA(VLOOKUP(A69,'SIR States'!$A:$A,1,FALSE)),"No","Yes")</f>
        <v>No</v>
      </c>
      <c r="H69" s="4" t="str">
        <f>VLOOKUP(D69,'25th May'!$D:$D,1,0)</f>
        <v>LD-GE-2009</v>
      </c>
    </row>
    <row r="70">
      <c r="A70" s="5" t="s">
        <v>33</v>
      </c>
      <c r="B70" s="5" t="s">
        <v>21</v>
      </c>
      <c r="C70" s="5">
        <v>2009.0</v>
      </c>
      <c r="D70" s="5" t="str">
        <f t="shared" si="1"/>
        <v>ML-GE-2009</v>
      </c>
      <c r="E70" s="6" t="str">
        <f>IF(ISNA(VLOOKUP(A70,'SIR States'!$A:$A,1,FALSE)),"No","Yes")</f>
        <v>No</v>
      </c>
      <c r="H70" s="4" t="str">
        <f>VLOOKUP(D70,'25th May'!$D:$D,1,0)</f>
        <v>ML-GE-2009</v>
      </c>
    </row>
    <row r="71">
      <c r="A71" s="5" t="s">
        <v>34</v>
      </c>
      <c r="B71" s="5" t="s">
        <v>21</v>
      </c>
      <c r="C71" s="5">
        <v>2009.0</v>
      </c>
      <c r="D71" s="5" t="str">
        <f t="shared" si="1"/>
        <v>MN-GE-2009</v>
      </c>
      <c r="E71" s="6" t="str">
        <f>IF(ISNA(VLOOKUP(A71,'SIR States'!$A:$A,1,FALSE)),"No","Yes")</f>
        <v>No</v>
      </c>
      <c r="H71" s="4" t="str">
        <f>VLOOKUP(D71,'25th May'!$D:$D,1,0)</f>
        <v>MN-GE-2009</v>
      </c>
    </row>
    <row r="72">
      <c r="A72" s="5" t="s">
        <v>12</v>
      </c>
      <c r="B72" s="5" t="s">
        <v>18</v>
      </c>
      <c r="C72" s="5">
        <v>2022.0</v>
      </c>
      <c r="D72" s="5" t="str">
        <f t="shared" si="1"/>
        <v>DL-AE-BP-2022</v>
      </c>
      <c r="E72" s="6" t="str">
        <f>IF(ISNA(VLOOKUP(A72,'SIR States'!$A:$A,1,FALSE)),"No","Yes")</f>
        <v>No</v>
      </c>
      <c r="H72" s="4" t="str">
        <f>VLOOKUP(D72,'25th May'!$D:$D,1,0)</f>
        <v>DL-AE-BP-2022</v>
      </c>
    </row>
    <row r="73">
      <c r="A73" s="5" t="s">
        <v>12</v>
      </c>
      <c r="B73" s="5" t="s">
        <v>18</v>
      </c>
      <c r="C73" s="5">
        <v>2017.0</v>
      </c>
      <c r="D73" s="5" t="str">
        <f t="shared" si="1"/>
        <v>DL-AE-BP-2017</v>
      </c>
      <c r="E73" s="6" t="str">
        <f>IF(ISNA(VLOOKUP(A73,'SIR States'!$A:$A,1,FALSE)),"No","Yes")</f>
        <v>No</v>
      </c>
      <c r="H73" s="4" t="str">
        <f>VLOOKUP(D73,'25th May'!$D:$D,1,0)</f>
        <v>DL-AE-BP-2017</v>
      </c>
    </row>
    <row r="74">
      <c r="A74" s="5" t="s">
        <v>12</v>
      </c>
      <c r="B74" s="5" t="s">
        <v>18</v>
      </c>
      <c r="C74" s="5">
        <v>2009.0</v>
      </c>
      <c r="D74" s="5" t="str">
        <f t="shared" si="1"/>
        <v>DL-AE-BP-2009</v>
      </c>
      <c r="E74" s="6" t="str">
        <f>IF(ISNA(VLOOKUP(A74,'SIR States'!$A:$A,1,FALSE)),"No","Yes")</f>
        <v>No</v>
      </c>
      <c r="H74" s="4" t="str">
        <f>VLOOKUP(D74,'25th May'!$D:$D,1,0)</f>
        <v>DL-AE-BP-2009</v>
      </c>
    </row>
    <row r="75">
      <c r="A75" s="5" t="s">
        <v>15</v>
      </c>
      <c r="B75" s="5" t="s">
        <v>21</v>
      </c>
      <c r="C75" s="5">
        <v>2009.0</v>
      </c>
      <c r="D75" s="5" t="str">
        <f t="shared" si="1"/>
        <v>MP-GE-2009</v>
      </c>
      <c r="E75" s="6" t="str">
        <f>IF(ISNA(VLOOKUP(A75,'SIR States'!$A:$A,1,FALSE)),"No","Yes")</f>
        <v>No</v>
      </c>
      <c r="H75" s="4" t="str">
        <f>VLOOKUP(D75,'25th May'!$D:$D,1,0)</f>
        <v>MP-GE-2009</v>
      </c>
    </row>
    <row r="76">
      <c r="A76" s="5" t="s">
        <v>16</v>
      </c>
      <c r="B76" s="5" t="s">
        <v>21</v>
      </c>
      <c r="C76" s="5">
        <v>2009.0</v>
      </c>
      <c r="D76" s="5" t="str">
        <f t="shared" si="1"/>
        <v>MZ-GE-2009</v>
      </c>
      <c r="E76" s="6" t="str">
        <f>IF(ISNA(VLOOKUP(A76,'SIR States'!$A:$A,1,FALSE)),"No","Yes")</f>
        <v>No</v>
      </c>
      <c r="H76" s="4" t="str">
        <f>VLOOKUP(D76,'25th May'!$D:$D,1,0)</f>
        <v>MZ-GE-2009</v>
      </c>
    </row>
    <row r="77">
      <c r="A77" s="5" t="s">
        <v>35</v>
      </c>
      <c r="B77" s="5" t="s">
        <v>21</v>
      </c>
      <c r="C77" s="5">
        <v>2009.0</v>
      </c>
      <c r="D77" s="5" t="str">
        <f t="shared" si="1"/>
        <v>NL-GE-2009</v>
      </c>
      <c r="E77" s="6" t="str">
        <f>IF(ISNA(VLOOKUP(A77,'SIR States'!$A:$A,1,FALSE)),"No","Yes")</f>
        <v>No</v>
      </c>
      <c r="H77" s="4" t="str">
        <f>VLOOKUP(D77,'25th May'!$D:$D,1,0)</f>
        <v>NL-GE-2009</v>
      </c>
    </row>
    <row r="78">
      <c r="A78" s="5" t="s">
        <v>36</v>
      </c>
      <c r="B78" s="5" t="s">
        <v>13</v>
      </c>
      <c r="C78" s="5">
        <v>2009.0</v>
      </c>
      <c r="D78" s="5" t="str">
        <f t="shared" si="1"/>
        <v>SK-AE-2009</v>
      </c>
      <c r="E78" s="6" t="str">
        <f>IF(ISNA(VLOOKUP(A78,'SIR States'!$A:$A,1,FALSE)),"No","Yes")</f>
        <v>No</v>
      </c>
      <c r="H78" s="4" t="str">
        <f>VLOOKUP(D78,'25th May'!$D:$D,1,0)</f>
        <v>SK-AE-2009</v>
      </c>
    </row>
    <row r="79">
      <c r="A79" s="5" t="s">
        <v>36</v>
      </c>
      <c r="B79" s="5" t="s">
        <v>21</v>
      </c>
      <c r="C79" s="5">
        <v>2009.0</v>
      </c>
      <c r="D79" s="5" t="str">
        <f t="shared" si="1"/>
        <v>SK-GE-2009</v>
      </c>
      <c r="E79" s="6" t="str">
        <f>IF(ISNA(VLOOKUP(A79,'SIR States'!$A:$A,1,FALSE)),"No","Yes")</f>
        <v>No</v>
      </c>
      <c r="H79" s="4" t="str">
        <f>VLOOKUP(D79,'25th May'!$D:$D,1,0)</f>
        <v>SK-GE-2009</v>
      </c>
    </row>
    <row r="80">
      <c r="A80" s="5" t="s">
        <v>19</v>
      </c>
      <c r="B80" s="5" t="s">
        <v>21</v>
      </c>
      <c r="C80" s="5">
        <v>2009.0</v>
      </c>
      <c r="D80" s="5" t="str">
        <f t="shared" si="1"/>
        <v>TR-GE-2009</v>
      </c>
      <c r="E80" s="6" t="str">
        <f>IF(ISNA(VLOOKUP(A80,'SIR States'!$A:$A,1,FALSE)),"No","Yes")</f>
        <v>No</v>
      </c>
      <c r="H80" s="4" t="str">
        <f>VLOOKUP(D80,'25th May'!$D:$D,1,0)</f>
        <v>TR-GE-2009</v>
      </c>
    </row>
    <row r="81">
      <c r="A81" s="5" t="s">
        <v>25</v>
      </c>
      <c r="B81" s="5" t="s">
        <v>22</v>
      </c>
      <c r="C81" s="5">
        <v>2021.0</v>
      </c>
      <c r="D81" s="5" t="str">
        <f t="shared" si="1"/>
        <v>DN-GE-BP-2021</v>
      </c>
      <c r="E81" s="6" t="str">
        <f>IF(ISNA(VLOOKUP(A81,'SIR States'!$A:$A,1,FALSE)),"No","Yes")</f>
        <v>No</v>
      </c>
      <c r="H81" s="4" t="str">
        <f>VLOOKUP(D81,'25th May'!$D:$D,1,0)</f>
        <v>DN-GE-BP-2021</v>
      </c>
    </row>
    <row r="82">
      <c r="A82" s="5" t="s">
        <v>37</v>
      </c>
      <c r="B82" s="5" t="s">
        <v>18</v>
      </c>
      <c r="C82" s="5">
        <v>2022.0</v>
      </c>
      <c r="D82" s="5" t="str">
        <f t="shared" si="1"/>
        <v>GA-AE-BP-2022</v>
      </c>
      <c r="E82" s="6" t="str">
        <f>IF(ISNA(VLOOKUP(A82,'SIR States'!$A:$A,1,FALSE)),"No","Yes")</f>
        <v>No</v>
      </c>
      <c r="H82" s="4" t="str">
        <f>VLOOKUP(D82,'25th May'!$D:$D,1,0)</f>
        <v>GA-AE-BP-2022</v>
      </c>
    </row>
    <row r="83">
      <c r="A83" s="5" t="s">
        <v>37</v>
      </c>
      <c r="B83" s="5" t="s">
        <v>18</v>
      </c>
      <c r="C83" s="5">
        <v>2019.0</v>
      </c>
      <c r="D83" s="5" t="str">
        <f t="shared" si="1"/>
        <v>GA-AE-BP-2019</v>
      </c>
      <c r="E83" s="6" t="str">
        <f>IF(ISNA(VLOOKUP(A83,'SIR States'!$A:$A,1,FALSE)),"No","Yes")</f>
        <v>No</v>
      </c>
      <c r="H83" s="4" t="str">
        <f>VLOOKUP(D83,'25th May'!$D:$D,1,0)</f>
        <v>GA-AE-BP-2019</v>
      </c>
    </row>
    <row r="84">
      <c r="A84" s="5" t="s">
        <v>37</v>
      </c>
      <c r="B84" s="5" t="s">
        <v>18</v>
      </c>
      <c r="C84" s="5">
        <v>2017.0</v>
      </c>
      <c r="D84" s="5" t="str">
        <f t="shared" si="1"/>
        <v>GA-AE-BP-2017</v>
      </c>
      <c r="E84" s="6" t="str">
        <f>IF(ISNA(VLOOKUP(A84,'SIR States'!$A:$A,1,FALSE)),"No","Yes")</f>
        <v>No</v>
      </c>
      <c r="H84" s="4" t="str">
        <f>VLOOKUP(D84,'25th May'!$D:$D,1,0)</f>
        <v>GA-AE-BP-2017</v>
      </c>
    </row>
    <row r="85">
      <c r="A85" s="5" t="s">
        <v>37</v>
      </c>
      <c r="B85" s="5" t="s">
        <v>18</v>
      </c>
      <c r="C85" s="5">
        <v>2015.0</v>
      </c>
      <c r="D85" s="5" t="str">
        <f t="shared" si="1"/>
        <v>GA-AE-BP-2015</v>
      </c>
      <c r="E85" s="6" t="str">
        <f>IF(ISNA(VLOOKUP(A85,'SIR States'!$A:$A,1,FALSE)),"No","Yes")</f>
        <v>No</v>
      </c>
      <c r="H85" s="4" t="str">
        <f>VLOOKUP(D85,'25th May'!$D:$D,1,0)</f>
        <v>GA-AE-BP-2015</v>
      </c>
    </row>
    <row r="86">
      <c r="A86" s="5" t="s">
        <v>37</v>
      </c>
      <c r="B86" s="5" t="s">
        <v>18</v>
      </c>
      <c r="C86" s="5">
        <v>2012.0</v>
      </c>
      <c r="D86" s="5" t="str">
        <f t="shared" si="1"/>
        <v>GA-AE-BP-2012</v>
      </c>
      <c r="E86" s="6" t="str">
        <f>IF(ISNA(VLOOKUP(A86,'SIR States'!$A:$A,1,FALSE)),"No","Yes")</f>
        <v>No</v>
      </c>
      <c r="H86" s="4" t="str">
        <f>VLOOKUP(D86,'25th May'!$D:$D,1,0)</f>
        <v>GA-AE-BP-2012</v>
      </c>
    </row>
    <row r="87">
      <c r="A87" s="5" t="s">
        <v>38</v>
      </c>
      <c r="B87" s="5" t="s">
        <v>21</v>
      </c>
      <c r="C87" s="5">
        <v>2009.0</v>
      </c>
      <c r="D87" s="5" t="str">
        <f t="shared" si="1"/>
        <v>TS-GE-2009</v>
      </c>
      <c r="E87" s="6" t="str">
        <f>IF(ISNA(VLOOKUP(A87,'SIR States'!$A:$A,1,FALSE)),"No","Yes")</f>
        <v>No</v>
      </c>
      <c r="H87" s="4" t="str">
        <f>VLOOKUP(D87,'25th May'!$D:$D,1,0)</f>
        <v>TS-GE-2009</v>
      </c>
    </row>
    <row r="88">
      <c r="A88" s="5" t="s">
        <v>39</v>
      </c>
      <c r="B88" s="5" t="s">
        <v>13</v>
      </c>
      <c r="C88" s="5">
        <v>2011.0</v>
      </c>
      <c r="D88" s="5" t="str">
        <f t="shared" si="1"/>
        <v>WB-AE-2011</v>
      </c>
      <c r="E88" s="6" t="str">
        <f>IF(ISNA(VLOOKUP(A88,'SIR States'!$A:$A,1,FALSE)),"No","Yes")</f>
        <v>No</v>
      </c>
      <c r="H88" s="4" t="str">
        <f>VLOOKUP(D88,'25th May'!$D:$D,1,0)</f>
        <v>WB-AE-2011</v>
      </c>
    </row>
    <row r="89">
      <c r="A89" s="5" t="s">
        <v>27</v>
      </c>
      <c r="B89" s="5" t="s">
        <v>13</v>
      </c>
      <c r="C89" s="5">
        <v>2012.0</v>
      </c>
      <c r="D89" s="5" t="str">
        <f t="shared" si="1"/>
        <v>GJ-AE-2012</v>
      </c>
      <c r="E89" s="6" t="str">
        <f>IF(ISNA(VLOOKUP(A89,'SIR States'!$A:$A,1,FALSE)),"No","Yes")</f>
        <v>No</v>
      </c>
      <c r="H89" s="4" t="str">
        <f>VLOOKUP(D89,'25th May'!$D:$D,1,0)</f>
        <v>GJ-AE-2012</v>
      </c>
    </row>
    <row r="90">
      <c r="A90" s="5" t="s">
        <v>27</v>
      </c>
      <c r="B90" s="5" t="s">
        <v>18</v>
      </c>
      <c r="C90" s="5">
        <v>2025.0</v>
      </c>
      <c r="D90" s="5" t="str">
        <f t="shared" si="1"/>
        <v>GJ-AE-BP-2025</v>
      </c>
      <c r="E90" s="6" t="str">
        <f>IF(ISNA(VLOOKUP(A90,'SIR States'!$A:$A,1,FALSE)),"No","Yes")</f>
        <v>No</v>
      </c>
      <c r="H90" s="4" t="str">
        <f>VLOOKUP(D90,'25th May'!$D:$D,1,0)</f>
        <v>GJ-AE-BP-2025</v>
      </c>
    </row>
    <row r="91">
      <c r="A91" s="5" t="s">
        <v>27</v>
      </c>
      <c r="B91" s="5" t="s">
        <v>18</v>
      </c>
      <c r="C91" s="5">
        <v>2024.0</v>
      </c>
      <c r="D91" s="5" t="str">
        <f t="shared" si="1"/>
        <v>GJ-AE-BP-2024</v>
      </c>
      <c r="E91" s="6" t="str">
        <f>IF(ISNA(VLOOKUP(A91,'SIR States'!$A:$A,1,FALSE)),"No","Yes")</f>
        <v>No</v>
      </c>
      <c r="H91" s="4" t="str">
        <f>VLOOKUP(D91,'25th May'!$D:$D,1,0)</f>
        <v>GJ-AE-BP-2024</v>
      </c>
    </row>
    <row r="92">
      <c r="A92" s="5" t="s">
        <v>27</v>
      </c>
      <c r="B92" s="5" t="s">
        <v>18</v>
      </c>
      <c r="C92" s="5">
        <v>2021.0</v>
      </c>
      <c r="D92" s="5" t="str">
        <f t="shared" si="1"/>
        <v>GJ-AE-BP-2021</v>
      </c>
      <c r="E92" s="6" t="str">
        <f>IF(ISNA(VLOOKUP(A92,'SIR States'!$A:$A,1,FALSE)),"No","Yes")</f>
        <v>No</v>
      </c>
      <c r="H92" s="4" t="str">
        <f>VLOOKUP(D92,'25th May'!$D:$D,1,0)</f>
        <v>GJ-AE-BP-2021</v>
      </c>
    </row>
    <row r="93">
      <c r="A93" s="5" t="s">
        <v>27</v>
      </c>
      <c r="B93" s="5" t="s">
        <v>18</v>
      </c>
      <c r="C93" s="5">
        <v>2020.0</v>
      </c>
      <c r="D93" s="5" t="str">
        <f t="shared" si="1"/>
        <v>GJ-AE-BP-2020</v>
      </c>
      <c r="E93" s="6" t="str">
        <f>IF(ISNA(VLOOKUP(A93,'SIR States'!$A:$A,1,FALSE)),"No","Yes")</f>
        <v>No</v>
      </c>
      <c r="H93" s="4" t="str">
        <f>VLOOKUP(D93,'25th May'!$D:$D,1,0)</f>
        <v>GJ-AE-BP-2020</v>
      </c>
    </row>
    <row r="94">
      <c r="A94" s="5" t="s">
        <v>27</v>
      </c>
      <c r="B94" s="5" t="s">
        <v>18</v>
      </c>
      <c r="C94" s="5">
        <v>2019.0</v>
      </c>
      <c r="D94" s="5" t="str">
        <f t="shared" si="1"/>
        <v>GJ-AE-BP-2019</v>
      </c>
      <c r="E94" s="6" t="str">
        <f>IF(ISNA(VLOOKUP(A94,'SIR States'!$A:$A,1,FALSE)),"No","Yes")</f>
        <v>No</v>
      </c>
      <c r="H94" s="4" t="str">
        <f>VLOOKUP(D94,'25th May'!$D:$D,1,0)</f>
        <v>GJ-AE-BP-2019</v>
      </c>
    </row>
    <row r="95">
      <c r="A95" s="5" t="s">
        <v>27</v>
      </c>
      <c r="B95" s="5" t="s">
        <v>18</v>
      </c>
      <c r="C95" s="5">
        <v>2018.0</v>
      </c>
      <c r="D95" s="5" t="str">
        <f t="shared" si="1"/>
        <v>GJ-AE-BP-2018</v>
      </c>
      <c r="E95" s="6" t="str">
        <f>IF(ISNA(VLOOKUP(A95,'SIR States'!$A:$A,1,FALSE)),"No","Yes")</f>
        <v>No</v>
      </c>
      <c r="H95" s="4" t="str">
        <f>VLOOKUP(D95,'25th May'!$D:$D,1,0)</f>
        <v>GJ-AE-BP-2018</v>
      </c>
    </row>
    <row r="96">
      <c r="A96" s="5" t="s">
        <v>27</v>
      </c>
      <c r="B96" s="5" t="s">
        <v>18</v>
      </c>
      <c r="C96" s="5">
        <v>2016.0</v>
      </c>
      <c r="D96" s="5" t="str">
        <f t="shared" si="1"/>
        <v>GJ-AE-BP-2016</v>
      </c>
      <c r="E96" s="6" t="str">
        <f>IF(ISNA(VLOOKUP(A96,'SIR States'!$A:$A,1,FALSE)),"No","Yes")</f>
        <v>No</v>
      </c>
      <c r="H96" s="4" t="str">
        <f>VLOOKUP(D96,'25th May'!$D:$D,1,0)</f>
        <v>GJ-AE-BP-2016</v>
      </c>
    </row>
    <row r="97">
      <c r="A97" s="5" t="s">
        <v>27</v>
      </c>
      <c r="B97" s="5" t="s">
        <v>18</v>
      </c>
      <c r="C97" s="5">
        <v>2014.0</v>
      </c>
      <c r="D97" s="5" t="str">
        <f t="shared" si="1"/>
        <v>GJ-AE-BP-2014</v>
      </c>
      <c r="E97" s="6" t="str">
        <f>IF(ISNA(VLOOKUP(A97,'SIR States'!$A:$A,1,FALSE)),"No","Yes")</f>
        <v>No</v>
      </c>
      <c r="H97" s="4" t="str">
        <f>VLOOKUP(D97,'25th May'!$D:$D,1,0)</f>
        <v>GJ-AE-BP-2014</v>
      </c>
    </row>
    <row r="98">
      <c r="A98" s="5" t="s">
        <v>27</v>
      </c>
      <c r="B98" s="5" t="s">
        <v>18</v>
      </c>
      <c r="C98" s="5">
        <v>2013.0</v>
      </c>
      <c r="D98" s="5" t="str">
        <f t="shared" si="1"/>
        <v>GJ-AE-BP-2013</v>
      </c>
      <c r="E98" s="6" t="str">
        <f>IF(ISNA(VLOOKUP(A98,'SIR States'!$A:$A,1,FALSE)),"No","Yes")</f>
        <v>No</v>
      </c>
      <c r="H98" s="4" t="str">
        <f>VLOOKUP(D98,'25th May'!$D:$D,1,0)</f>
        <v>GJ-AE-BP-2013</v>
      </c>
    </row>
    <row r="99">
      <c r="A99" s="5" t="s">
        <v>27</v>
      </c>
      <c r="B99" s="5" t="s">
        <v>18</v>
      </c>
      <c r="C99" s="5">
        <v>2012.0</v>
      </c>
      <c r="D99" s="5" t="str">
        <f t="shared" si="1"/>
        <v>GJ-AE-BP-2012</v>
      </c>
      <c r="E99" s="6" t="str">
        <f>IF(ISNA(VLOOKUP(A99,'SIR States'!$A:$A,1,FALSE)),"No","Yes")</f>
        <v>No</v>
      </c>
      <c r="H99" s="4" t="str">
        <f>VLOOKUP(D99,'25th May'!$D:$D,1,0)</f>
        <v>GJ-AE-BP-2012</v>
      </c>
    </row>
    <row r="100">
      <c r="A100" s="5" t="s">
        <v>27</v>
      </c>
      <c r="B100" s="5" t="s">
        <v>18</v>
      </c>
      <c r="C100" s="5">
        <v>2011.0</v>
      </c>
      <c r="D100" s="5" t="str">
        <f t="shared" si="1"/>
        <v>GJ-AE-BP-2011</v>
      </c>
      <c r="E100" s="6" t="str">
        <f>IF(ISNA(VLOOKUP(A100,'SIR States'!$A:$A,1,FALSE)),"No","Yes")</f>
        <v>No</v>
      </c>
      <c r="H100" s="4" t="str">
        <f>VLOOKUP(D100,'25th May'!$D:$D,1,0)</f>
        <v>GJ-AE-BP-2011</v>
      </c>
    </row>
    <row r="101">
      <c r="A101" s="5" t="s">
        <v>27</v>
      </c>
      <c r="B101" s="5" t="s">
        <v>18</v>
      </c>
      <c r="C101" s="5">
        <v>2010.0</v>
      </c>
      <c r="D101" s="5" t="str">
        <f t="shared" si="1"/>
        <v>GJ-AE-BP-2010</v>
      </c>
      <c r="E101" s="6" t="str">
        <f>IF(ISNA(VLOOKUP(A101,'SIR States'!$A:$A,1,FALSE)),"No","Yes")</f>
        <v>No</v>
      </c>
      <c r="H101" s="4" t="str">
        <f>VLOOKUP(D101,'25th May'!$D:$D,1,0)</f>
        <v>GJ-AE-BP-2010</v>
      </c>
    </row>
    <row r="102">
      <c r="A102" s="5" t="s">
        <v>27</v>
      </c>
      <c r="B102" s="5" t="s">
        <v>18</v>
      </c>
      <c r="C102" s="5">
        <v>2009.0</v>
      </c>
      <c r="D102" s="5" t="str">
        <f t="shared" si="1"/>
        <v>GJ-AE-BP-2009</v>
      </c>
      <c r="E102" s="6" t="str">
        <f>IF(ISNA(VLOOKUP(A102,'SIR States'!$A:$A,1,FALSE)),"No","Yes")</f>
        <v>No</v>
      </c>
      <c r="H102" s="4" t="str">
        <f>VLOOKUP(D102,'25th May'!$D:$D,1,0)</f>
        <v>GJ-AE-BP-2009</v>
      </c>
    </row>
    <row r="103">
      <c r="A103" s="5" t="s">
        <v>33</v>
      </c>
      <c r="B103" s="5" t="s">
        <v>13</v>
      </c>
      <c r="C103" s="5">
        <v>2013.0</v>
      </c>
      <c r="D103" s="5" t="str">
        <f t="shared" si="1"/>
        <v>ML-AE-2013</v>
      </c>
      <c r="E103" s="6" t="str">
        <f>IF(ISNA(VLOOKUP(A103,'SIR States'!$A:$A,1,FALSE)),"No","Yes")</f>
        <v>No</v>
      </c>
      <c r="H103" s="4" t="str">
        <f>VLOOKUP(D103,'25th May'!$D:$D,1,0)</f>
        <v>ML-AE-2013</v>
      </c>
    </row>
    <row r="104">
      <c r="A104" s="5" t="s">
        <v>15</v>
      </c>
      <c r="B104" s="5" t="s">
        <v>13</v>
      </c>
      <c r="C104" s="5">
        <v>2013.0</v>
      </c>
      <c r="D104" s="5" t="str">
        <f t="shared" si="1"/>
        <v>MP-AE-2013</v>
      </c>
      <c r="E104" s="6" t="str">
        <f>IF(ISNA(VLOOKUP(A104,'SIR States'!$A:$A,1,FALSE)),"No","Yes")</f>
        <v>No</v>
      </c>
      <c r="H104" s="4" t="str">
        <f>VLOOKUP(D104,'25th May'!$D:$D,1,0)</f>
        <v>MP-AE-2013</v>
      </c>
    </row>
    <row r="105">
      <c r="A105" s="5" t="s">
        <v>16</v>
      </c>
      <c r="B105" s="5" t="s">
        <v>13</v>
      </c>
      <c r="C105" s="5">
        <v>2013.0</v>
      </c>
      <c r="D105" s="5" t="str">
        <f t="shared" si="1"/>
        <v>MZ-AE-2013</v>
      </c>
      <c r="E105" s="6" t="str">
        <f>IF(ISNA(VLOOKUP(A105,'SIR States'!$A:$A,1,FALSE)),"No","Yes")</f>
        <v>No</v>
      </c>
      <c r="H105" s="4" t="str">
        <f>VLOOKUP(D105,'25th May'!$D:$D,1,0)</f>
        <v>MZ-AE-2013</v>
      </c>
    </row>
    <row r="106">
      <c r="A106" s="5" t="s">
        <v>27</v>
      </c>
      <c r="B106" s="5" t="s">
        <v>22</v>
      </c>
      <c r="C106" s="5">
        <v>2014.0</v>
      </c>
      <c r="D106" s="5" t="str">
        <f t="shared" si="1"/>
        <v>GJ-GE-BP-2014</v>
      </c>
      <c r="E106" s="6" t="str">
        <f>IF(ISNA(VLOOKUP(A106,'SIR States'!$A:$A,1,FALSE)),"No","Yes")</f>
        <v>No</v>
      </c>
      <c r="H106" s="4" t="str">
        <f>VLOOKUP(D106,'25th May'!$D:$D,1,0)</f>
        <v>GJ-GE-BP-2014</v>
      </c>
    </row>
    <row r="107">
      <c r="A107" s="5" t="s">
        <v>27</v>
      </c>
      <c r="B107" s="5" t="s">
        <v>22</v>
      </c>
      <c r="C107" s="5">
        <v>2013.0</v>
      </c>
      <c r="D107" s="5" t="str">
        <f t="shared" si="1"/>
        <v>GJ-GE-BP-2013</v>
      </c>
      <c r="E107" s="6" t="str">
        <f>IF(ISNA(VLOOKUP(A107,'SIR States'!$A:$A,1,FALSE)),"No","Yes")</f>
        <v>No</v>
      </c>
      <c r="H107" s="4" t="str">
        <f>VLOOKUP(D107,'25th May'!$D:$D,1,0)</f>
        <v>GJ-GE-BP-2013</v>
      </c>
    </row>
    <row r="108">
      <c r="A108" s="5" t="s">
        <v>40</v>
      </c>
      <c r="B108" s="5" t="s">
        <v>18</v>
      </c>
      <c r="C108" s="5">
        <v>2024.0</v>
      </c>
      <c r="D108" s="5" t="str">
        <f t="shared" si="1"/>
        <v>HP-AE-BP-2024</v>
      </c>
      <c r="E108" s="6" t="str">
        <f>IF(ISNA(VLOOKUP(A108,'SIR States'!$A:$A,1,FALSE)),"No","Yes")</f>
        <v>Yes</v>
      </c>
      <c r="H108" s="4" t="str">
        <f>VLOOKUP(D108,'25th May'!$D:$D,1,0)</f>
        <v>HP-AE-BP-2024</v>
      </c>
    </row>
    <row r="109">
      <c r="A109" s="5" t="s">
        <v>40</v>
      </c>
      <c r="B109" s="5" t="s">
        <v>18</v>
      </c>
      <c r="C109" s="5">
        <v>2021.0</v>
      </c>
      <c r="D109" s="5" t="str">
        <f t="shared" si="1"/>
        <v>HP-AE-BP-2021</v>
      </c>
      <c r="E109" s="6" t="str">
        <f>IF(ISNA(VLOOKUP(A109,'SIR States'!$A:$A,1,FALSE)),"No","Yes")</f>
        <v>Yes</v>
      </c>
      <c r="H109" s="4" t="str">
        <f>VLOOKUP(D109,'25th May'!$D:$D,1,0)</f>
        <v>HP-AE-BP-2021</v>
      </c>
    </row>
    <row r="110">
      <c r="A110" s="5" t="s">
        <v>40</v>
      </c>
      <c r="B110" s="5" t="s">
        <v>18</v>
      </c>
      <c r="C110" s="5">
        <v>2019.0</v>
      </c>
      <c r="D110" s="5" t="str">
        <f t="shared" si="1"/>
        <v>HP-AE-BP-2019</v>
      </c>
      <c r="E110" s="6" t="str">
        <f>IF(ISNA(VLOOKUP(A110,'SIR States'!$A:$A,1,FALSE)),"No","Yes")</f>
        <v>Yes</v>
      </c>
      <c r="H110" s="4" t="str">
        <f>VLOOKUP(D110,'25th May'!$D:$D,1,0)</f>
        <v>HP-AE-BP-2019</v>
      </c>
    </row>
    <row r="111">
      <c r="A111" s="5" t="s">
        <v>40</v>
      </c>
      <c r="B111" s="5" t="s">
        <v>18</v>
      </c>
      <c r="C111" s="5">
        <v>2017.0</v>
      </c>
      <c r="D111" s="5" t="str">
        <f t="shared" si="1"/>
        <v>HP-AE-BP-2017</v>
      </c>
      <c r="E111" s="6" t="str">
        <f>IF(ISNA(VLOOKUP(A111,'SIR States'!$A:$A,1,FALSE)),"No","Yes")</f>
        <v>Yes</v>
      </c>
      <c r="H111" s="4" t="str">
        <f>VLOOKUP(D111,'25th May'!$D:$D,1,0)</f>
        <v>HP-AE-BP-2017</v>
      </c>
    </row>
    <row r="112">
      <c r="A112" s="5" t="s">
        <v>40</v>
      </c>
      <c r="B112" s="5" t="s">
        <v>18</v>
      </c>
      <c r="C112" s="5">
        <v>2014.0</v>
      </c>
      <c r="D112" s="5" t="str">
        <f t="shared" si="1"/>
        <v>HP-AE-BP-2014</v>
      </c>
      <c r="E112" s="6" t="str">
        <f>IF(ISNA(VLOOKUP(A112,'SIR States'!$A:$A,1,FALSE)),"No","Yes")</f>
        <v>Yes</v>
      </c>
      <c r="H112" s="4" t="str">
        <f>VLOOKUP(D112,'25th May'!$D:$D,1,0)</f>
        <v>HP-AE-BP-2014</v>
      </c>
    </row>
    <row r="113">
      <c r="A113" s="5" t="s">
        <v>40</v>
      </c>
      <c r="B113" s="5" t="s">
        <v>18</v>
      </c>
      <c r="C113" s="5">
        <v>2011.0</v>
      </c>
      <c r="D113" s="5" t="str">
        <f t="shared" si="1"/>
        <v>HP-AE-BP-2011</v>
      </c>
      <c r="E113" s="6" t="str">
        <f>IF(ISNA(VLOOKUP(A113,'SIR States'!$A:$A,1,FALSE)),"No","Yes")</f>
        <v>Yes</v>
      </c>
      <c r="H113" s="4" t="str">
        <f>VLOOKUP(D113,'25th May'!$D:$D,1,0)</f>
        <v>HP-AE-BP-2011</v>
      </c>
    </row>
    <row r="114">
      <c r="A114" s="5" t="s">
        <v>35</v>
      </c>
      <c r="B114" s="5" t="s">
        <v>13</v>
      </c>
      <c r="C114" s="5">
        <v>2013.0</v>
      </c>
      <c r="D114" s="5" t="str">
        <f t="shared" si="1"/>
        <v>NL-AE-2013</v>
      </c>
      <c r="E114" s="6" t="str">
        <f>IF(ISNA(VLOOKUP(A114,'SIR States'!$A:$A,1,FALSE)),"No","Yes")</f>
        <v>No</v>
      </c>
      <c r="H114" s="4" t="str">
        <f>VLOOKUP(D114,'25th May'!$D:$D,1,0)</f>
        <v>NL-AE-2013</v>
      </c>
    </row>
    <row r="115">
      <c r="A115" s="5" t="s">
        <v>19</v>
      </c>
      <c r="B115" s="5" t="s">
        <v>13</v>
      </c>
      <c r="C115" s="5">
        <v>2013.0</v>
      </c>
      <c r="D115" s="5" t="str">
        <f t="shared" si="1"/>
        <v>TR-AE-2013</v>
      </c>
      <c r="E115" s="6" t="str">
        <f>IF(ISNA(VLOOKUP(A115,'SIR States'!$A:$A,1,FALSE)),"No","Yes")</f>
        <v>No</v>
      </c>
      <c r="H115" s="4" t="str">
        <f>VLOOKUP(D115,'25th May'!$D:$D,1,0)</f>
        <v>TR-AE-2013</v>
      </c>
    </row>
    <row r="116">
      <c r="A116" s="5" t="s">
        <v>40</v>
      </c>
      <c r="B116" s="5" t="s">
        <v>22</v>
      </c>
      <c r="C116" s="5">
        <v>2021.0</v>
      </c>
      <c r="D116" s="5" t="str">
        <f t="shared" si="1"/>
        <v>HP-GE-BP-2021</v>
      </c>
      <c r="E116" s="6" t="str">
        <f>IF(ISNA(VLOOKUP(A116,'SIR States'!$A:$A,1,FALSE)),"No","Yes")</f>
        <v>Yes</v>
      </c>
      <c r="H116" s="4" t="str">
        <f>VLOOKUP(D116,'25th May'!$D:$D,1,0)</f>
        <v>HP-GE-BP-2021</v>
      </c>
    </row>
    <row r="117">
      <c r="A117" s="5" t="s">
        <v>40</v>
      </c>
      <c r="B117" s="5" t="s">
        <v>22</v>
      </c>
      <c r="C117" s="5">
        <v>2013.0</v>
      </c>
      <c r="D117" s="5" t="str">
        <f t="shared" si="1"/>
        <v>HP-GE-BP-2013</v>
      </c>
      <c r="E117" s="6" t="str">
        <f>IF(ISNA(VLOOKUP(A117,'SIR States'!$A:$A,1,FALSE)),"No","Yes")</f>
        <v>Yes</v>
      </c>
      <c r="H117" s="4" t="str">
        <f>VLOOKUP(D117,'25th May'!$D:$D,1,0)</f>
        <v>HP-GE-BP-2013</v>
      </c>
    </row>
    <row r="118">
      <c r="A118" s="5" t="s">
        <v>20</v>
      </c>
      <c r="B118" s="5" t="s">
        <v>21</v>
      </c>
      <c r="C118" s="5">
        <v>2014.0</v>
      </c>
      <c r="D118" s="5" t="str">
        <f t="shared" si="1"/>
        <v>AN-GE-2014</v>
      </c>
      <c r="E118" s="6" t="str">
        <f>IF(ISNA(VLOOKUP(A118,'SIR States'!$A:$A,1,FALSE)),"No","Yes")</f>
        <v>No</v>
      </c>
      <c r="H118" s="4" t="str">
        <f>VLOOKUP(D118,'25th May'!$D:$D,1,0)</f>
        <v>AN-GE-2014</v>
      </c>
    </row>
    <row r="119">
      <c r="A119" s="5" t="s">
        <v>41</v>
      </c>
      <c r="B119" s="5" t="s">
        <v>18</v>
      </c>
      <c r="C119" s="5">
        <v>2024.0</v>
      </c>
      <c r="D119" s="5" t="str">
        <f t="shared" si="1"/>
        <v>HR-AE-BP-2024</v>
      </c>
      <c r="E119" s="6" t="str">
        <f>IF(ISNA(VLOOKUP(A119,'SIR States'!$A:$A,1,FALSE)),"No","Yes")</f>
        <v>Yes</v>
      </c>
      <c r="H119" s="4" t="str">
        <f>VLOOKUP(D119,'25th May'!$D:$D,1,0)</f>
        <v>HR-AE-BP-2024</v>
      </c>
    </row>
    <row r="120">
      <c r="A120" s="5" t="s">
        <v>41</v>
      </c>
      <c r="B120" s="5" t="s">
        <v>18</v>
      </c>
      <c r="C120" s="5">
        <v>2022.0</v>
      </c>
      <c r="D120" s="5" t="str">
        <f t="shared" si="1"/>
        <v>HR-AE-BP-2022</v>
      </c>
      <c r="E120" s="6" t="str">
        <f>IF(ISNA(VLOOKUP(A120,'SIR States'!$A:$A,1,FALSE)),"No","Yes")</f>
        <v>Yes</v>
      </c>
      <c r="H120" s="4" t="str">
        <f>VLOOKUP(D120,'25th May'!$D:$D,1,0)</f>
        <v>HR-AE-BP-2022</v>
      </c>
    </row>
    <row r="121">
      <c r="A121" s="5" t="s">
        <v>41</v>
      </c>
      <c r="B121" s="5" t="s">
        <v>18</v>
      </c>
      <c r="C121" s="5">
        <v>2021.0</v>
      </c>
      <c r="D121" s="5" t="str">
        <f t="shared" si="1"/>
        <v>HR-AE-BP-2021</v>
      </c>
      <c r="E121" s="6" t="str">
        <f>IF(ISNA(VLOOKUP(A121,'SIR States'!$A:$A,1,FALSE)),"No","Yes")</f>
        <v>Yes</v>
      </c>
      <c r="H121" s="4" t="str">
        <f>VLOOKUP(D121,'25th May'!$D:$D,1,0)</f>
        <v>HR-AE-BP-2021</v>
      </c>
    </row>
    <row r="122">
      <c r="A122" s="5" t="s">
        <v>41</v>
      </c>
      <c r="B122" s="5" t="s">
        <v>18</v>
      </c>
      <c r="C122" s="5">
        <v>2020.0</v>
      </c>
      <c r="D122" s="5" t="str">
        <f t="shared" si="1"/>
        <v>HR-AE-BP-2020</v>
      </c>
      <c r="E122" s="6" t="str">
        <f>IF(ISNA(VLOOKUP(A122,'SIR States'!$A:$A,1,FALSE)),"No","Yes")</f>
        <v>Yes</v>
      </c>
      <c r="H122" s="4" t="str">
        <f>VLOOKUP(D122,'25th May'!$D:$D,1,0)</f>
        <v>HR-AE-BP-2020</v>
      </c>
    </row>
    <row r="123">
      <c r="A123" s="5" t="s">
        <v>41</v>
      </c>
      <c r="B123" s="5" t="s">
        <v>18</v>
      </c>
      <c r="C123" s="5">
        <v>2019.0</v>
      </c>
      <c r="D123" s="5" t="str">
        <f t="shared" si="1"/>
        <v>HR-AE-BP-2019</v>
      </c>
      <c r="E123" s="6" t="str">
        <f>IF(ISNA(VLOOKUP(A123,'SIR States'!$A:$A,1,FALSE)),"No","Yes")</f>
        <v>Yes</v>
      </c>
      <c r="H123" s="4" t="str">
        <f>VLOOKUP(D123,'25th May'!$D:$D,1,0)</f>
        <v>HR-AE-BP-2019</v>
      </c>
    </row>
    <row r="124">
      <c r="A124" s="5" t="s">
        <v>41</v>
      </c>
      <c r="B124" s="5" t="s">
        <v>18</v>
      </c>
      <c r="C124" s="5">
        <v>2011.0</v>
      </c>
      <c r="D124" s="5" t="str">
        <f t="shared" si="1"/>
        <v>HR-AE-BP-2011</v>
      </c>
      <c r="E124" s="6" t="str">
        <f>IF(ISNA(VLOOKUP(A124,'SIR States'!$A:$A,1,FALSE)),"No","Yes")</f>
        <v>Yes</v>
      </c>
      <c r="H124" s="4" t="str">
        <f>VLOOKUP(D124,'25th May'!$D:$D,1,0)</f>
        <v>HR-AE-BP-2011</v>
      </c>
    </row>
    <row r="125">
      <c r="A125" s="5" t="s">
        <v>41</v>
      </c>
      <c r="B125" s="5" t="s">
        <v>18</v>
      </c>
      <c r="C125" s="5">
        <v>2010.0</v>
      </c>
      <c r="D125" s="5" t="str">
        <f t="shared" si="1"/>
        <v>HR-AE-BP-2010</v>
      </c>
      <c r="E125" s="6" t="str">
        <f>IF(ISNA(VLOOKUP(A125,'SIR States'!$A:$A,1,FALSE)),"No","Yes")</f>
        <v>Yes</v>
      </c>
      <c r="H125" s="4" t="str">
        <f>VLOOKUP(D125,'25th May'!$D:$D,1,0)</f>
        <v>HR-AE-BP-2010</v>
      </c>
    </row>
    <row r="126">
      <c r="A126" s="5" t="s">
        <v>17</v>
      </c>
      <c r="B126" s="5" t="s">
        <v>13</v>
      </c>
      <c r="C126" s="5">
        <v>2014.0</v>
      </c>
      <c r="D126" s="5" t="str">
        <f t="shared" si="1"/>
        <v>AP-AE-2014</v>
      </c>
      <c r="E126" s="6" t="str">
        <f>IF(ISNA(VLOOKUP(A126,'SIR States'!$A:$A,1,FALSE)),"No","Yes")</f>
        <v>Yes</v>
      </c>
      <c r="F126" s="7"/>
      <c r="G126" s="7"/>
      <c r="H126" s="4" t="str">
        <f>VLOOKUP(D126,'25th May'!$D:$D,1,0)</f>
        <v>AP-AE-2014</v>
      </c>
      <c r="I126" s="7"/>
    </row>
    <row r="127">
      <c r="A127" s="5" t="s">
        <v>17</v>
      </c>
      <c r="B127" s="5" t="s">
        <v>21</v>
      </c>
      <c r="C127" s="5">
        <v>2014.0</v>
      </c>
      <c r="D127" s="5" t="str">
        <f t="shared" si="1"/>
        <v>AP-GE-2014</v>
      </c>
      <c r="E127" s="6" t="str">
        <f>IF(ISNA(VLOOKUP(A127,'SIR States'!$A:$A,1,FALSE)),"No","Yes")</f>
        <v>Yes</v>
      </c>
      <c r="F127" s="7"/>
      <c r="G127" s="7"/>
      <c r="H127" s="4" t="str">
        <f>VLOOKUP(D127,'25th May'!$D:$D,1,0)</f>
        <v>AP-GE-2014</v>
      </c>
      <c r="I127" s="7"/>
    </row>
    <row r="128">
      <c r="A128" s="5" t="s">
        <v>23</v>
      </c>
      <c r="B128" s="5" t="s">
        <v>13</v>
      </c>
      <c r="C128" s="5">
        <v>2014.0</v>
      </c>
      <c r="D128" s="5" t="str">
        <f t="shared" si="1"/>
        <v>AR-AE-2014</v>
      </c>
      <c r="E128" s="6" t="str">
        <f>IF(ISNA(VLOOKUP(A128,'SIR States'!$A:$A,1,FALSE)),"No","Yes")</f>
        <v>No</v>
      </c>
      <c r="H128" s="4" t="str">
        <f>VLOOKUP(D128,'25th May'!$D:$D,1,0)</f>
        <v>AR-AE-2014</v>
      </c>
    </row>
    <row r="129">
      <c r="A129" s="5" t="s">
        <v>41</v>
      </c>
      <c r="B129" s="5" t="s">
        <v>22</v>
      </c>
      <c r="C129" s="5">
        <v>2011.0</v>
      </c>
      <c r="D129" s="5" t="str">
        <f t="shared" si="1"/>
        <v>HR-GE-BP-2011</v>
      </c>
      <c r="E129" s="6" t="str">
        <f>IF(ISNA(VLOOKUP(A129,'SIR States'!$A:$A,1,FALSE)),"No","Yes")</f>
        <v>Yes</v>
      </c>
      <c r="H129" s="4" t="str">
        <f>VLOOKUP(D129,'25th May'!$D:$D,1,0)</f>
        <v>HR-GE-BP-2011</v>
      </c>
    </row>
    <row r="130">
      <c r="A130" s="5" t="s">
        <v>23</v>
      </c>
      <c r="B130" s="5" t="s">
        <v>21</v>
      </c>
      <c r="C130" s="5">
        <v>2014.0</v>
      </c>
      <c r="D130" s="5" t="str">
        <f t="shared" si="1"/>
        <v>AR-GE-2014</v>
      </c>
      <c r="E130" s="6" t="str">
        <f>IF(ISNA(VLOOKUP(A130,'SIR States'!$A:$A,1,FALSE)),"No","Yes")</f>
        <v>No</v>
      </c>
      <c r="H130" s="4" t="str">
        <f>VLOOKUP(D130,'25th May'!$D:$D,1,0)</f>
        <v>AR-GE-2014</v>
      </c>
    </row>
    <row r="131">
      <c r="A131" s="5" t="s">
        <v>30</v>
      </c>
      <c r="B131" s="5" t="s">
        <v>18</v>
      </c>
      <c r="C131" s="5">
        <v>2024.0</v>
      </c>
      <c r="D131" s="5" t="str">
        <f t="shared" si="1"/>
        <v>JH-AE-BP-2024</v>
      </c>
      <c r="E131" s="6" t="str">
        <f>IF(ISNA(VLOOKUP(A131,'SIR States'!$A:$A,1,FALSE)),"No","Yes")</f>
        <v>Yes</v>
      </c>
      <c r="H131" s="4" t="str">
        <f>VLOOKUP(D131,'25th May'!$D:$D,1,0)</f>
        <v>JH-AE-BP-2024</v>
      </c>
    </row>
    <row r="132">
      <c r="A132" s="5" t="s">
        <v>30</v>
      </c>
      <c r="B132" s="5" t="s">
        <v>18</v>
      </c>
      <c r="C132" s="5">
        <v>2023.0</v>
      </c>
      <c r="D132" s="5" t="str">
        <f t="shared" si="1"/>
        <v>JH-AE-BP-2023</v>
      </c>
      <c r="E132" s="6" t="str">
        <f>IF(ISNA(VLOOKUP(A132,'SIR States'!$A:$A,1,FALSE)),"No","Yes")</f>
        <v>Yes</v>
      </c>
      <c r="H132" s="4" t="str">
        <f>VLOOKUP(D132,'25th May'!$D:$D,1,0)</f>
        <v>JH-AE-BP-2023</v>
      </c>
    </row>
    <row r="133">
      <c r="A133" s="5" t="s">
        <v>30</v>
      </c>
      <c r="B133" s="5" t="s">
        <v>18</v>
      </c>
      <c r="C133" s="5">
        <v>2022.0</v>
      </c>
      <c r="D133" s="5" t="str">
        <f t="shared" si="1"/>
        <v>JH-AE-BP-2022</v>
      </c>
      <c r="E133" s="6" t="str">
        <f>IF(ISNA(VLOOKUP(A133,'SIR States'!$A:$A,1,FALSE)),"No","Yes")</f>
        <v>Yes</v>
      </c>
      <c r="H133" s="4" t="str">
        <f>VLOOKUP(D133,'25th May'!$D:$D,1,0)</f>
        <v>JH-AE-BP-2022</v>
      </c>
    </row>
    <row r="134">
      <c r="A134" s="5" t="s">
        <v>30</v>
      </c>
      <c r="B134" s="5" t="s">
        <v>18</v>
      </c>
      <c r="C134" s="5">
        <v>2021.0</v>
      </c>
      <c r="D134" s="5" t="str">
        <f t="shared" si="1"/>
        <v>JH-AE-BP-2021</v>
      </c>
      <c r="E134" s="6" t="str">
        <f>IF(ISNA(VLOOKUP(A134,'SIR States'!$A:$A,1,FALSE)),"No","Yes")</f>
        <v>Yes</v>
      </c>
      <c r="H134" s="4" t="str">
        <f>VLOOKUP(D134,'25th May'!$D:$D,1,0)</f>
        <v>JH-AE-BP-2021</v>
      </c>
    </row>
    <row r="135">
      <c r="A135" s="5" t="s">
        <v>30</v>
      </c>
      <c r="B135" s="5" t="s">
        <v>18</v>
      </c>
      <c r="C135" s="5">
        <v>2020.0</v>
      </c>
      <c r="D135" s="5" t="str">
        <f t="shared" si="1"/>
        <v>JH-AE-BP-2020</v>
      </c>
      <c r="E135" s="6" t="str">
        <f>IF(ISNA(VLOOKUP(A135,'SIR States'!$A:$A,1,FALSE)),"No","Yes")</f>
        <v>Yes</v>
      </c>
      <c r="H135" s="4" t="str">
        <f>VLOOKUP(D135,'25th May'!$D:$D,1,0)</f>
        <v>JH-AE-BP-2020</v>
      </c>
    </row>
    <row r="136">
      <c r="A136" s="5" t="s">
        <v>30</v>
      </c>
      <c r="B136" s="5" t="s">
        <v>18</v>
      </c>
      <c r="C136" s="5">
        <v>2018.0</v>
      </c>
      <c r="D136" s="5" t="str">
        <f t="shared" si="1"/>
        <v>JH-AE-BP-2018</v>
      </c>
      <c r="E136" s="6" t="str">
        <f>IF(ISNA(VLOOKUP(A136,'SIR States'!$A:$A,1,FALSE)),"No","Yes")</f>
        <v>Yes</v>
      </c>
      <c r="H136" s="4" t="str">
        <f>VLOOKUP(D136,'25th May'!$D:$D,1,0)</f>
        <v>JH-AE-BP-2018</v>
      </c>
    </row>
    <row r="137">
      <c r="A137" s="5" t="s">
        <v>30</v>
      </c>
      <c r="B137" s="5" t="s">
        <v>18</v>
      </c>
      <c r="C137" s="5">
        <v>2017.0</v>
      </c>
      <c r="D137" s="5" t="str">
        <f t="shared" si="1"/>
        <v>JH-AE-BP-2017</v>
      </c>
      <c r="E137" s="6" t="str">
        <f>IF(ISNA(VLOOKUP(A137,'SIR States'!$A:$A,1,FALSE)),"No","Yes")</f>
        <v>Yes</v>
      </c>
      <c r="H137" s="4" t="str">
        <f>VLOOKUP(D137,'25th May'!$D:$D,1,0)</f>
        <v>JH-AE-BP-2017</v>
      </c>
    </row>
    <row r="138">
      <c r="A138" s="5" t="s">
        <v>30</v>
      </c>
      <c r="B138" s="5" t="s">
        <v>18</v>
      </c>
      <c r="C138" s="5">
        <v>2016.0</v>
      </c>
      <c r="D138" s="5" t="str">
        <f t="shared" si="1"/>
        <v>JH-AE-BP-2016</v>
      </c>
      <c r="E138" s="6" t="str">
        <f>IF(ISNA(VLOOKUP(A138,'SIR States'!$A:$A,1,FALSE)),"No","Yes")</f>
        <v>Yes</v>
      </c>
      <c r="H138" s="4" t="str">
        <f>VLOOKUP(D138,'25th May'!$D:$D,1,0)</f>
        <v>JH-AE-BP-2016</v>
      </c>
    </row>
    <row r="139">
      <c r="A139" s="5" t="s">
        <v>30</v>
      </c>
      <c r="B139" s="5" t="s">
        <v>18</v>
      </c>
      <c r="C139" s="5">
        <v>2015.0</v>
      </c>
      <c r="D139" s="5" t="str">
        <f t="shared" si="1"/>
        <v>JH-AE-BP-2015</v>
      </c>
      <c r="E139" s="6" t="str">
        <f>IF(ISNA(VLOOKUP(A139,'SIR States'!$A:$A,1,FALSE)),"No","Yes")</f>
        <v>Yes</v>
      </c>
      <c r="H139" s="4" t="str">
        <f>VLOOKUP(D139,'25th May'!$D:$D,1,0)</f>
        <v>JH-AE-BP-2015</v>
      </c>
    </row>
    <row r="140">
      <c r="A140" s="5" t="s">
        <v>30</v>
      </c>
      <c r="B140" s="5" t="s">
        <v>18</v>
      </c>
      <c r="C140" s="5">
        <v>2012.0</v>
      </c>
      <c r="D140" s="5" t="str">
        <f t="shared" si="1"/>
        <v>JH-AE-BP-2012</v>
      </c>
      <c r="E140" s="6" t="str">
        <f>IF(ISNA(VLOOKUP(A140,'SIR States'!$A:$A,1,FALSE)),"No","Yes")</f>
        <v>Yes</v>
      </c>
      <c r="H140" s="4" t="str">
        <f>VLOOKUP(D140,'25th May'!$D:$D,1,0)</f>
        <v>JH-AE-BP-2012</v>
      </c>
    </row>
    <row r="141">
      <c r="A141" s="5" t="s">
        <v>30</v>
      </c>
      <c r="B141" s="5" t="s">
        <v>18</v>
      </c>
      <c r="C141" s="5">
        <v>2011.0</v>
      </c>
      <c r="D141" s="5" t="str">
        <f t="shared" si="1"/>
        <v>JH-AE-BP-2011</v>
      </c>
      <c r="E141" s="6" t="str">
        <f>IF(ISNA(VLOOKUP(A141,'SIR States'!$A:$A,1,FALSE)),"No","Yes")</f>
        <v>Yes</v>
      </c>
      <c r="H141" s="4" t="str">
        <f>VLOOKUP(D141,'25th May'!$D:$D,1,0)</f>
        <v>JH-AE-BP-2011</v>
      </c>
    </row>
    <row r="142">
      <c r="A142" s="5" t="s">
        <v>30</v>
      </c>
      <c r="B142" s="5" t="s">
        <v>18</v>
      </c>
      <c r="C142" s="5">
        <v>2010.0</v>
      </c>
      <c r="D142" s="5" t="str">
        <f t="shared" si="1"/>
        <v>JH-AE-BP-2010</v>
      </c>
      <c r="E142" s="6" t="str">
        <f>IF(ISNA(VLOOKUP(A142,'SIR States'!$A:$A,1,FALSE)),"No","Yes")</f>
        <v>Yes</v>
      </c>
      <c r="H142" s="4" t="str">
        <f>VLOOKUP(D142,'25th May'!$D:$D,1,0)</f>
        <v>JH-AE-BP-2010</v>
      </c>
    </row>
    <row r="143">
      <c r="A143" s="5" t="s">
        <v>30</v>
      </c>
      <c r="B143" s="5" t="s">
        <v>18</v>
      </c>
      <c r="C143" s="5">
        <v>2009.0</v>
      </c>
      <c r="D143" s="5" t="str">
        <f t="shared" si="1"/>
        <v>JH-AE-BP-2009</v>
      </c>
      <c r="E143" s="6" t="str">
        <f>IF(ISNA(VLOOKUP(A143,'SIR States'!$A:$A,1,FALSE)),"No","Yes")</f>
        <v>Yes</v>
      </c>
      <c r="H143" s="4" t="str">
        <f>VLOOKUP(D143,'25th May'!$D:$D,1,0)</f>
        <v>JH-AE-BP-2009</v>
      </c>
    </row>
    <row r="144">
      <c r="A144" s="5" t="s">
        <v>24</v>
      </c>
      <c r="B144" s="5" t="s">
        <v>21</v>
      </c>
      <c r="C144" s="5">
        <v>2014.0</v>
      </c>
      <c r="D144" s="5" t="str">
        <f t="shared" si="1"/>
        <v>DD-GE-2014</v>
      </c>
      <c r="E144" s="6" t="str">
        <f>IF(ISNA(VLOOKUP(A144,'SIR States'!$A:$A,1,FALSE)),"No","Yes")</f>
        <v>No</v>
      </c>
      <c r="H144" s="4" t="str">
        <f>VLOOKUP(D144,'25th May'!$D:$D,1,0)</f>
        <v>DD-GE-2014</v>
      </c>
    </row>
    <row r="145">
      <c r="A145" s="5" t="s">
        <v>30</v>
      </c>
      <c r="B145" s="5" t="s">
        <v>22</v>
      </c>
      <c r="C145" s="5">
        <v>2011.0</v>
      </c>
      <c r="D145" s="5" t="str">
        <f t="shared" si="1"/>
        <v>JH-GE-BP-2011</v>
      </c>
      <c r="E145" s="6" t="str">
        <f>IF(ISNA(VLOOKUP(A145,'SIR States'!$A:$A,1,FALSE)),"No","Yes")</f>
        <v>Yes</v>
      </c>
      <c r="H145" s="4" t="str">
        <f>VLOOKUP(D145,'25th May'!$D:$D,1,0)</f>
        <v>JH-GE-BP-2011</v>
      </c>
    </row>
    <row r="146">
      <c r="A146" s="5" t="s">
        <v>25</v>
      </c>
      <c r="B146" s="5" t="s">
        <v>21</v>
      </c>
      <c r="C146" s="5">
        <v>2014.0</v>
      </c>
      <c r="D146" s="5" t="str">
        <f t="shared" si="1"/>
        <v>DN-GE-2014</v>
      </c>
      <c r="E146" s="6" t="str">
        <f>IF(ISNA(VLOOKUP(A146,'SIR States'!$A:$A,1,FALSE)),"No","Yes")</f>
        <v>No</v>
      </c>
      <c r="H146" s="4" t="str">
        <f>VLOOKUP(D146,'25th May'!$D:$D,1,0)</f>
        <v>DN-GE-2014</v>
      </c>
    </row>
    <row r="147">
      <c r="A147" s="5" t="s">
        <v>14</v>
      </c>
      <c r="B147" s="5" t="s">
        <v>18</v>
      </c>
      <c r="C147" s="5">
        <v>2009.0</v>
      </c>
      <c r="D147" s="5" t="str">
        <f t="shared" si="1"/>
        <v>JK-AE-BP-2009</v>
      </c>
      <c r="E147" s="6" t="str">
        <f>IF(ISNA(VLOOKUP(A147,'SIR States'!$A:$A,1,FALSE)),"No","Yes")</f>
        <v>Yes</v>
      </c>
      <c r="H147" s="4" t="str">
        <f>VLOOKUP(D147,'25th May'!$D:$D,1,0)</f>
        <v>JK-AE-BP-2009</v>
      </c>
    </row>
    <row r="148">
      <c r="A148" s="5" t="s">
        <v>27</v>
      </c>
      <c r="B148" s="5" t="s">
        <v>21</v>
      </c>
      <c r="C148" s="5">
        <v>2014.0</v>
      </c>
      <c r="D148" s="5" t="str">
        <f t="shared" si="1"/>
        <v>GJ-GE-2014</v>
      </c>
      <c r="E148" s="6" t="str">
        <f>IF(ISNA(VLOOKUP(A148,'SIR States'!$A:$A,1,FALSE)),"No","Yes")</f>
        <v>No</v>
      </c>
      <c r="H148" s="4" t="str">
        <f>VLOOKUP(D148,'25th May'!$D:$D,1,0)</f>
        <v>GJ-GE-2014</v>
      </c>
    </row>
    <row r="149">
      <c r="A149" s="5" t="s">
        <v>42</v>
      </c>
      <c r="B149" s="5" t="s">
        <v>18</v>
      </c>
      <c r="C149" s="5">
        <v>2024.0</v>
      </c>
      <c r="D149" s="5" t="str">
        <f t="shared" si="1"/>
        <v>KA-AE-BP-2024</v>
      </c>
      <c r="E149" s="6" t="str">
        <f>IF(ISNA(VLOOKUP(A149,'SIR States'!$A:$A,1,FALSE)),"No","Yes")</f>
        <v>Yes</v>
      </c>
      <c r="H149" s="4" t="str">
        <f>VLOOKUP(D149,'25th May'!$D:$D,1,0)</f>
        <v>KA-AE-BP-2024</v>
      </c>
    </row>
    <row r="150">
      <c r="A150" s="5" t="s">
        <v>42</v>
      </c>
      <c r="B150" s="5" t="s">
        <v>18</v>
      </c>
      <c r="C150" s="5">
        <v>2021.0</v>
      </c>
      <c r="D150" s="5" t="str">
        <f t="shared" si="1"/>
        <v>KA-AE-BP-2021</v>
      </c>
      <c r="E150" s="6" t="str">
        <f>IF(ISNA(VLOOKUP(A150,'SIR States'!$A:$A,1,FALSE)),"No","Yes")</f>
        <v>Yes</v>
      </c>
      <c r="H150" s="4" t="str">
        <f>VLOOKUP(D150,'25th May'!$D:$D,1,0)</f>
        <v>KA-AE-BP-2021</v>
      </c>
    </row>
    <row r="151">
      <c r="A151" s="5" t="s">
        <v>42</v>
      </c>
      <c r="B151" s="5" t="s">
        <v>18</v>
      </c>
      <c r="C151" s="5">
        <v>2020.0</v>
      </c>
      <c r="D151" s="5" t="str">
        <f t="shared" si="1"/>
        <v>KA-AE-BP-2020</v>
      </c>
      <c r="E151" s="6" t="str">
        <f>IF(ISNA(VLOOKUP(A151,'SIR States'!$A:$A,1,FALSE)),"No","Yes")</f>
        <v>Yes</v>
      </c>
      <c r="H151" s="4" t="str">
        <f>VLOOKUP(D151,'25th May'!$D:$D,1,0)</f>
        <v>KA-AE-BP-2020</v>
      </c>
    </row>
    <row r="152">
      <c r="A152" s="5" t="s">
        <v>42</v>
      </c>
      <c r="B152" s="5" t="s">
        <v>18</v>
      </c>
      <c r="C152" s="5">
        <v>2019.0</v>
      </c>
      <c r="D152" s="5" t="str">
        <f t="shared" si="1"/>
        <v>KA-AE-BP-2019</v>
      </c>
      <c r="E152" s="6" t="str">
        <f>IF(ISNA(VLOOKUP(A152,'SIR States'!$A:$A,1,FALSE)),"No","Yes")</f>
        <v>Yes</v>
      </c>
      <c r="H152" s="4" t="str">
        <f>VLOOKUP(D152,'25th May'!$D:$D,1,0)</f>
        <v>KA-AE-BP-2019</v>
      </c>
    </row>
    <row r="153">
      <c r="A153" s="5" t="s">
        <v>42</v>
      </c>
      <c r="B153" s="5" t="s">
        <v>18</v>
      </c>
      <c r="C153" s="5">
        <v>2018.0</v>
      </c>
      <c r="D153" s="5" t="str">
        <f t="shared" si="1"/>
        <v>KA-AE-BP-2018</v>
      </c>
      <c r="E153" s="6" t="str">
        <f>IF(ISNA(VLOOKUP(A153,'SIR States'!$A:$A,1,FALSE)),"No","Yes")</f>
        <v>Yes</v>
      </c>
      <c r="H153" s="4" t="str">
        <f>VLOOKUP(D153,'25th May'!$D:$D,1,0)</f>
        <v>KA-AE-BP-2018</v>
      </c>
    </row>
    <row r="154">
      <c r="A154" s="5" t="s">
        <v>42</v>
      </c>
      <c r="B154" s="5" t="s">
        <v>18</v>
      </c>
      <c r="C154" s="5">
        <v>2017.0</v>
      </c>
      <c r="D154" s="5" t="str">
        <f t="shared" si="1"/>
        <v>KA-AE-BP-2017</v>
      </c>
      <c r="E154" s="6" t="str">
        <f>IF(ISNA(VLOOKUP(A154,'SIR States'!$A:$A,1,FALSE)),"No","Yes")</f>
        <v>Yes</v>
      </c>
      <c r="H154" s="4" t="str">
        <f>VLOOKUP(D154,'25th May'!$D:$D,1,0)</f>
        <v>KA-AE-BP-2017</v>
      </c>
    </row>
    <row r="155">
      <c r="A155" s="5" t="s">
        <v>42</v>
      </c>
      <c r="B155" s="5" t="s">
        <v>18</v>
      </c>
      <c r="C155" s="5">
        <v>2016.0</v>
      </c>
      <c r="D155" s="5" t="str">
        <f t="shared" si="1"/>
        <v>KA-AE-BP-2016</v>
      </c>
      <c r="E155" s="6" t="str">
        <f>IF(ISNA(VLOOKUP(A155,'SIR States'!$A:$A,1,FALSE)),"No","Yes")</f>
        <v>Yes</v>
      </c>
      <c r="H155" s="4" t="str">
        <f>VLOOKUP(D155,'25th May'!$D:$D,1,0)</f>
        <v>KA-AE-BP-2016</v>
      </c>
    </row>
    <row r="156">
      <c r="A156" s="5" t="s">
        <v>42</v>
      </c>
      <c r="B156" s="5" t="s">
        <v>18</v>
      </c>
      <c r="C156" s="5">
        <v>2014.0</v>
      </c>
      <c r="D156" s="5" t="str">
        <f t="shared" si="1"/>
        <v>KA-AE-BP-2014</v>
      </c>
      <c r="E156" s="6" t="str">
        <f>IF(ISNA(VLOOKUP(A156,'SIR States'!$A:$A,1,FALSE)),"No","Yes")</f>
        <v>Yes</v>
      </c>
      <c r="H156" s="4" t="str">
        <f>VLOOKUP(D156,'25th May'!$D:$D,1,0)</f>
        <v>KA-AE-BP-2014</v>
      </c>
    </row>
    <row r="157">
      <c r="A157" s="5" t="s">
        <v>42</v>
      </c>
      <c r="B157" s="5" t="s">
        <v>18</v>
      </c>
      <c r="C157" s="5">
        <v>2011.0</v>
      </c>
      <c r="D157" s="5" t="str">
        <f t="shared" si="1"/>
        <v>KA-AE-BP-2011</v>
      </c>
      <c r="E157" s="6" t="str">
        <f>IF(ISNA(VLOOKUP(A157,'SIR States'!$A:$A,1,FALSE)),"No","Yes")</f>
        <v>Yes</v>
      </c>
      <c r="H157" s="4" t="str">
        <f>VLOOKUP(D157,'25th May'!$D:$D,1,0)</f>
        <v>KA-AE-BP-2011</v>
      </c>
    </row>
    <row r="158">
      <c r="A158" s="5" t="s">
        <v>42</v>
      </c>
      <c r="B158" s="5" t="s">
        <v>18</v>
      </c>
      <c r="C158" s="5">
        <v>2010.0</v>
      </c>
      <c r="D158" s="5" t="str">
        <f t="shared" si="1"/>
        <v>KA-AE-BP-2010</v>
      </c>
      <c r="E158" s="6" t="str">
        <f>IF(ISNA(VLOOKUP(A158,'SIR States'!$A:$A,1,FALSE)),"No","Yes")</f>
        <v>Yes</v>
      </c>
      <c r="H158" s="4" t="str">
        <f>VLOOKUP(D158,'25th May'!$D:$D,1,0)</f>
        <v>KA-AE-BP-2010</v>
      </c>
    </row>
    <row r="159">
      <c r="A159" s="5" t="s">
        <v>42</v>
      </c>
      <c r="B159" s="5" t="s">
        <v>18</v>
      </c>
      <c r="C159" s="5">
        <v>2009.0</v>
      </c>
      <c r="D159" s="5" t="str">
        <f t="shared" si="1"/>
        <v>KA-AE-BP-2009</v>
      </c>
      <c r="E159" s="6" t="str">
        <f>IF(ISNA(VLOOKUP(A159,'SIR States'!$A:$A,1,FALSE)),"No","Yes")</f>
        <v>Yes</v>
      </c>
      <c r="H159" s="4" t="str">
        <f>VLOOKUP(D159,'25th May'!$D:$D,1,0)</f>
        <v>KA-AE-BP-2009</v>
      </c>
    </row>
    <row r="160">
      <c r="A160" s="5" t="s">
        <v>42</v>
      </c>
      <c r="B160" s="5" t="s">
        <v>22</v>
      </c>
      <c r="C160" s="5">
        <v>2021.0</v>
      </c>
      <c r="D160" s="5" t="str">
        <f t="shared" si="1"/>
        <v>KA-GE-BP-2021</v>
      </c>
      <c r="E160" s="6" t="str">
        <f>IF(ISNA(VLOOKUP(A160,'SIR States'!$A:$A,1,FALSE)),"No","Yes")</f>
        <v>Yes</v>
      </c>
      <c r="H160" s="4" t="str">
        <f>VLOOKUP(D160,'25th May'!$D:$D,1,0)</f>
        <v>KA-GE-BP-2021</v>
      </c>
    </row>
    <row r="161">
      <c r="A161" s="5" t="s">
        <v>42</v>
      </c>
      <c r="B161" s="5" t="s">
        <v>22</v>
      </c>
      <c r="C161" s="5">
        <v>2018.0</v>
      </c>
      <c r="D161" s="5" t="str">
        <f t="shared" si="1"/>
        <v>KA-GE-BP-2018</v>
      </c>
      <c r="E161" s="6" t="str">
        <f>IF(ISNA(VLOOKUP(A161,'SIR States'!$A:$A,1,FALSE)),"No","Yes")</f>
        <v>Yes</v>
      </c>
      <c r="H161" s="4" t="str">
        <f>VLOOKUP(D161,'25th May'!$D:$D,1,0)</f>
        <v>KA-GE-BP-2018</v>
      </c>
    </row>
    <row r="162">
      <c r="A162" s="5" t="s">
        <v>42</v>
      </c>
      <c r="B162" s="5" t="s">
        <v>22</v>
      </c>
      <c r="C162" s="5">
        <v>2013.0</v>
      </c>
      <c r="D162" s="5" t="str">
        <f t="shared" si="1"/>
        <v>KA-GE-BP-2013</v>
      </c>
      <c r="E162" s="6" t="str">
        <f>IF(ISNA(VLOOKUP(A162,'SIR States'!$A:$A,1,FALSE)),"No","Yes")</f>
        <v>Yes</v>
      </c>
      <c r="H162" s="4" t="str">
        <f>VLOOKUP(D162,'25th May'!$D:$D,1,0)</f>
        <v>KA-GE-BP-2013</v>
      </c>
    </row>
    <row r="163">
      <c r="A163" s="5" t="s">
        <v>42</v>
      </c>
      <c r="B163" s="5" t="s">
        <v>22</v>
      </c>
      <c r="C163" s="5">
        <v>2012.0</v>
      </c>
      <c r="D163" s="5" t="str">
        <f t="shared" si="1"/>
        <v>KA-GE-BP-2012</v>
      </c>
      <c r="E163" s="6" t="str">
        <f>IF(ISNA(VLOOKUP(A163,'SIR States'!$A:$A,1,FALSE)),"No","Yes")</f>
        <v>Yes</v>
      </c>
      <c r="H163" s="4" t="str">
        <f>VLOOKUP(D163,'25th May'!$D:$D,1,0)</f>
        <v>KA-GE-BP-2012</v>
      </c>
    </row>
    <row r="164">
      <c r="A164" s="5" t="s">
        <v>43</v>
      </c>
      <c r="B164" s="5" t="s">
        <v>18</v>
      </c>
      <c r="C164" s="5">
        <v>2025.0</v>
      </c>
      <c r="D164" s="5" t="str">
        <f t="shared" si="1"/>
        <v>KL-AE-BP-2025</v>
      </c>
      <c r="E164" s="6" t="str">
        <f>IF(ISNA(VLOOKUP(A164,'SIR States'!$A:$A,1,FALSE)),"No","Yes")</f>
        <v>No</v>
      </c>
      <c r="H164" s="4" t="str">
        <f>VLOOKUP(D164,'25th May'!$D:$D,1,0)</f>
        <v>KL-AE-BP-2025</v>
      </c>
    </row>
    <row r="165">
      <c r="A165" s="5" t="s">
        <v>43</v>
      </c>
      <c r="B165" s="5" t="s">
        <v>18</v>
      </c>
      <c r="C165" s="5">
        <v>2024.0</v>
      </c>
      <c r="D165" s="5" t="str">
        <f t="shared" si="1"/>
        <v>KL-AE-BP-2024</v>
      </c>
      <c r="E165" s="6" t="str">
        <f>IF(ISNA(VLOOKUP(A165,'SIR States'!$A:$A,1,FALSE)),"No","Yes")</f>
        <v>No</v>
      </c>
      <c r="H165" s="4" t="str">
        <f>VLOOKUP(D165,'25th May'!$D:$D,1,0)</f>
        <v>KL-AE-BP-2024</v>
      </c>
    </row>
    <row r="166">
      <c r="A166" s="5" t="s">
        <v>43</v>
      </c>
      <c r="B166" s="5" t="s">
        <v>18</v>
      </c>
      <c r="C166" s="5">
        <v>2021.0</v>
      </c>
      <c r="D166" s="5" t="str">
        <f t="shared" si="1"/>
        <v>KL-AE-BP-2021</v>
      </c>
      <c r="E166" s="6" t="str">
        <f>IF(ISNA(VLOOKUP(A166,'SIR States'!$A:$A,1,FALSE)),"No","Yes")</f>
        <v>No</v>
      </c>
      <c r="H166" s="4" t="str">
        <f>VLOOKUP(D166,'25th May'!$D:$D,1,0)</f>
        <v>KL-AE-BP-2021</v>
      </c>
    </row>
    <row r="167">
      <c r="A167" s="5" t="s">
        <v>43</v>
      </c>
      <c r="B167" s="5" t="s">
        <v>18</v>
      </c>
      <c r="C167" s="5">
        <v>2019.0</v>
      </c>
      <c r="D167" s="5" t="str">
        <f t="shared" si="1"/>
        <v>KL-AE-BP-2019</v>
      </c>
      <c r="E167" s="6" t="str">
        <f>IF(ISNA(VLOOKUP(A167,'SIR States'!$A:$A,1,FALSE)),"No","Yes")</f>
        <v>No</v>
      </c>
      <c r="H167" s="4" t="str">
        <f>VLOOKUP(D167,'25th May'!$D:$D,1,0)</f>
        <v>KL-AE-BP-2019</v>
      </c>
    </row>
    <row r="168">
      <c r="A168" s="5" t="s">
        <v>43</v>
      </c>
      <c r="B168" s="5" t="s">
        <v>18</v>
      </c>
      <c r="C168" s="5">
        <v>2018.0</v>
      </c>
      <c r="D168" s="5" t="str">
        <f t="shared" si="1"/>
        <v>KL-AE-BP-2018</v>
      </c>
      <c r="E168" s="6" t="str">
        <f>IF(ISNA(VLOOKUP(A168,'SIR States'!$A:$A,1,FALSE)),"No","Yes")</f>
        <v>No</v>
      </c>
      <c r="H168" s="4" t="str">
        <f>VLOOKUP(D168,'25th May'!$D:$D,1,0)</f>
        <v>KL-AE-BP-2018</v>
      </c>
    </row>
    <row r="169">
      <c r="A169" s="5" t="s">
        <v>43</v>
      </c>
      <c r="B169" s="5" t="s">
        <v>18</v>
      </c>
      <c r="C169" s="5">
        <v>2017.0</v>
      </c>
      <c r="D169" s="5" t="str">
        <f t="shared" si="1"/>
        <v>KL-AE-BP-2017</v>
      </c>
      <c r="E169" s="6" t="str">
        <f>IF(ISNA(VLOOKUP(A169,'SIR States'!$A:$A,1,FALSE)),"No","Yes")</f>
        <v>No</v>
      </c>
      <c r="H169" s="4" t="str">
        <f>VLOOKUP(D169,'25th May'!$D:$D,1,0)</f>
        <v>KL-AE-BP-2017</v>
      </c>
    </row>
    <row r="170">
      <c r="A170" s="5" t="s">
        <v>43</v>
      </c>
      <c r="B170" s="5" t="s">
        <v>18</v>
      </c>
      <c r="C170" s="5">
        <v>2015.0</v>
      </c>
      <c r="D170" s="5" t="str">
        <f t="shared" si="1"/>
        <v>KL-AE-BP-2015</v>
      </c>
      <c r="E170" s="6" t="str">
        <f>IF(ISNA(VLOOKUP(A170,'SIR States'!$A:$A,1,FALSE)),"No","Yes")</f>
        <v>No</v>
      </c>
      <c r="H170" s="4" t="str">
        <f>VLOOKUP(D170,'25th May'!$D:$D,1,0)</f>
        <v>KL-AE-BP-2015</v>
      </c>
    </row>
    <row r="171">
      <c r="A171" s="5" t="s">
        <v>43</v>
      </c>
      <c r="B171" s="5" t="s">
        <v>18</v>
      </c>
      <c r="C171" s="5">
        <v>2012.0</v>
      </c>
      <c r="D171" s="5" t="str">
        <f t="shared" si="1"/>
        <v>KL-AE-BP-2012</v>
      </c>
      <c r="E171" s="6" t="str">
        <f>IF(ISNA(VLOOKUP(A171,'SIR States'!$A:$A,1,FALSE)),"No","Yes")</f>
        <v>No</v>
      </c>
      <c r="H171" s="4" t="str">
        <f>VLOOKUP(D171,'25th May'!$D:$D,1,0)</f>
        <v>KL-AE-BP-2012</v>
      </c>
    </row>
    <row r="172">
      <c r="A172" s="5" t="s">
        <v>43</v>
      </c>
      <c r="B172" s="5" t="s">
        <v>18</v>
      </c>
      <c r="C172" s="5">
        <v>2009.0</v>
      </c>
      <c r="D172" s="5" t="str">
        <f t="shared" si="1"/>
        <v>KL-AE-BP-2009</v>
      </c>
      <c r="E172" s="6" t="str">
        <f>IF(ISNA(VLOOKUP(A172,'SIR States'!$A:$A,1,FALSE)),"No","Yes")</f>
        <v>No</v>
      </c>
      <c r="H172" s="4" t="str">
        <f>VLOOKUP(D172,'25th May'!$D:$D,1,0)</f>
        <v>KL-AE-BP-2009</v>
      </c>
    </row>
    <row r="173">
      <c r="A173" s="5" t="s">
        <v>31</v>
      </c>
      <c r="B173" s="5" t="s">
        <v>21</v>
      </c>
      <c r="C173" s="5">
        <v>2014.0</v>
      </c>
      <c r="D173" s="5" t="str">
        <f t="shared" si="1"/>
        <v>LA-GE-2014</v>
      </c>
      <c r="E173" s="6" t="str">
        <f>IF(ISNA(VLOOKUP(A173,'SIR States'!$A:$A,1,FALSE)),"No","Yes")</f>
        <v>Yes</v>
      </c>
      <c r="F173" s="7"/>
      <c r="G173" s="7"/>
      <c r="H173" s="4" t="str">
        <f>VLOOKUP(D173,'25th May'!$D:$D,1,0)</f>
        <v>LA-GE-2014</v>
      </c>
      <c r="I173" s="7"/>
    </row>
    <row r="174">
      <c r="A174" s="5" t="s">
        <v>32</v>
      </c>
      <c r="B174" s="5" t="s">
        <v>21</v>
      </c>
      <c r="C174" s="5">
        <v>2014.0</v>
      </c>
      <c r="D174" s="5" t="str">
        <f t="shared" si="1"/>
        <v>LD-GE-2014</v>
      </c>
      <c r="E174" s="6" t="str">
        <f>IF(ISNA(VLOOKUP(A174,'SIR States'!$A:$A,1,FALSE)),"No","Yes")</f>
        <v>No</v>
      </c>
      <c r="H174" s="4" t="str">
        <f>VLOOKUP(D174,'25th May'!$D:$D,1,0)</f>
        <v>LD-GE-2014</v>
      </c>
    </row>
    <row r="175">
      <c r="A175" s="5" t="s">
        <v>33</v>
      </c>
      <c r="B175" s="5" t="s">
        <v>21</v>
      </c>
      <c r="C175" s="5">
        <v>2014.0</v>
      </c>
      <c r="D175" s="5" t="str">
        <f t="shared" si="1"/>
        <v>ML-GE-2014</v>
      </c>
      <c r="E175" s="6" t="str">
        <f>IF(ISNA(VLOOKUP(A175,'SIR States'!$A:$A,1,FALSE)),"No","Yes")</f>
        <v>No</v>
      </c>
      <c r="H175" s="4" t="str">
        <f>VLOOKUP(D175,'25th May'!$D:$D,1,0)</f>
        <v>ML-GE-2014</v>
      </c>
    </row>
    <row r="176">
      <c r="A176" s="5" t="s">
        <v>32</v>
      </c>
      <c r="B176" s="5" t="s">
        <v>22</v>
      </c>
      <c r="C176" s="5">
        <v>2023.0</v>
      </c>
      <c r="D176" s="5" t="str">
        <f t="shared" si="1"/>
        <v>LD-GE-BP-2023</v>
      </c>
      <c r="E176" s="6" t="str">
        <f>IF(ISNA(VLOOKUP(A176,'SIR States'!$A:$A,1,FALSE)),"No","Yes")</f>
        <v>No</v>
      </c>
      <c r="H176" s="4" t="str">
        <f>VLOOKUP(D176,'25th May'!$D:$D,1,0)</f>
        <v>LD-GE-BP-2023</v>
      </c>
    </row>
    <row r="177">
      <c r="A177" s="5" t="s">
        <v>15</v>
      </c>
      <c r="B177" s="5" t="s">
        <v>21</v>
      </c>
      <c r="C177" s="5">
        <v>2014.0</v>
      </c>
      <c r="D177" s="5" t="str">
        <f t="shared" si="1"/>
        <v>MP-GE-2014</v>
      </c>
      <c r="E177" s="6" t="str">
        <f>IF(ISNA(VLOOKUP(A177,'SIR States'!$A:$A,1,FALSE)),"No","Yes")</f>
        <v>No</v>
      </c>
      <c r="H177" s="4" t="str">
        <f>VLOOKUP(D177,'25th May'!$D:$D,1,0)</f>
        <v>MP-GE-2014</v>
      </c>
    </row>
    <row r="178">
      <c r="A178" s="5" t="s">
        <v>16</v>
      </c>
      <c r="B178" s="5" t="s">
        <v>21</v>
      </c>
      <c r="C178" s="5">
        <v>2014.0</v>
      </c>
      <c r="D178" s="5" t="str">
        <f t="shared" si="1"/>
        <v>MZ-GE-2014</v>
      </c>
      <c r="E178" s="6" t="str">
        <f>IF(ISNA(VLOOKUP(A178,'SIR States'!$A:$A,1,FALSE)),"No","Yes")</f>
        <v>No</v>
      </c>
      <c r="H178" s="4" t="str">
        <f>VLOOKUP(D178,'25th May'!$D:$D,1,0)</f>
        <v>MZ-GE-2014</v>
      </c>
    </row>
    <row r="179">
      <c r="A179" s="5" t="s">
        <v>35</v>
      </c>
      <c r="B179" s="5" t="s">
        <v>21</v>
      </c>
      <c r="C179" s="5">
        <v>2014.0</v>
      </c>
      <c r="D179" s="5" t="str">
        <f t="shared" si="1"/>
        <v>NL-GE-2014</v>
      </c>
      <c r="E179" s="6" t="str">
        <f>IF(ISNA(VLOOKUP(A179,'SIR States'!$A:$A,1,FALSE)),"No","Yes")</f>
        <v>No</v>
      </c>
      <c r="H179" s="4" t="str">
        <f>VLOOKUP(D179,'25th May'!$D:$D,1,0)</f>
        <v>NL-GE-2014</v>
      </c>
    </row>
    <row r="180">
      <c r="A180" s="5" t="s">
        <v>44</v>
      </c>
      <c r="B180" s="5" t="s">
        <v>18</v>
      </c>
      <c r="C180" s="5">
        <v>2023.0</v>
      </c>
      <c r="D180" s="5" t="str">
        <f t="shared" si="1"/>
        <v>MH-AE-BP-2023</v>
      </c>
      <c r="E180" s="6" t="str">
        <f>IF(ISNA(VLOOKUP(A180,'SIR States'!$A:$A,1,FALSE)),"No","Yes")</f>
        <v>Yes</v>
      </c>
      <c r="H180" s="4" t="str">
        <f>VLOOKUP(D180,'25th May'!$D:$D,1,0)</f>
        <v>MH-AE-BP-2023</v>
      </c>
    </row>
    <row r="181">
      <c r="A181" s="5" t="s">
        <v>44</v>
      </c>
      <c r="B181" s="5" t="s">
        <v>18</v>
      </c>
      <c r="C181" s="5">
        <v>2022.0</v>
      </c>
      <c r="D181" s="5" t="str">
        <f t="shared" si="1"/>
        <v>MH-AE-BP-2022</v>
      </c>
      <c r="E181" s="6" t="str">
        <f>IF(ISNA(VLOOKUP(A181,'SIR States'!$A:$A,1,FALSE)),"No","Yes")</f>
        <v>Yes</v>
      </c>
      <c r="H181" s="4" t="str">
        <f>VLOOKUP(D181,'25th May'!$D:$D,1,0)</f>
        <v>MH-AE-BP-2022</v>
      </c>
    </row>
    <row r="182">
      <c r="A182" s="5" t="s">
        <v>44</v>
      </c>
      <c r="B182" s="5" t="s">
        <v>18</v>
      </c>
      <c r="C182" s="5">
        <v>2021.0</v>
      </c>
      <c r="D182" s="5" t="str">
        <f t="shared" si="1"/>
        <v>MH-AE-BP-2021</v>
      </c>
      <c r="E182" s="6" t="str">
        <f>IF(ISNA(VLOOKUP(A182,'SIR States'!$A:$A,1,FALSE)),"No","Yes")</f>
        <v>Yes</v>
      </c>
      <c r="H182" s="4" t="str">
        <f>VLOOKUP(D182,'25th May'!$D:$D,1,0)</f>
        <v>MH-AE-BP-2021</v>
      </c>
    </row>
    <row r="183">
      <c r="A183" s="5" t="s">
        <v>44</v>
      </c>
      <c r="B183" s="5" t="s">
        <v>18</v>
      </c>
      <c r="C183" s="5">
        <v>2018.0</v>
      </c>
      <c r="D183" s="5" t="str">
        <f t="shared" si="1"/>
        <v>MH-AE-BP-2018</v>
      </c>
      <c r="E183" s="6" t="str">
        <f>IF(ISNA(VLOOKUP(A183,'SIR States'!$A:$A,1,FALSE)),"No","Yes")</f>
        <v>Yes</v>
      </c>
      <c r="H183" s="4" t="str">
        <f>VLOOKUP(D183,'25th May'!$D:$D,1,0)</f>
        <v>MH-AE-BP-2018</v>
      </c>
    </row>
    <row r="184">
      <c r="A184" s="5" t="s">
        <v>44</v>
      </c>
      <c r="B184" s="5" t="s">
        <v>18</v>
      </c>
      <c r="C184" s="5">
        <v>2016.0</v>
      </c>
      <c r="D184" s="5" t="str">
        <f t="shared" si="1"/>
        <v>MH-AE-BP-2016</v>
      </c>
      <c r="E184" s="6" t="str">
        <f>IF(ISNA(VLOOKUP(A184,'SIR States'!$A:$A,1,FALSE)),"No","Yes")</f>
        <v>Yes</v>
      </c>
      <c r="H184" s="4" t="str">
        <f>VLOOKUP(D184,'25th May'!$D:$D,1,0)</f>
        <v>MH-AE-BP-2016</v>
      </c>
    </row>
    <row r="185">
      <c r="A185" s="5" t="s">
        <v>44</v>
      </c>
      <c r="B185" s="5" t="s">
        <v>18</v>
      </c>
      <c r="C185" s="5">
        <v>2015.0</v>
      </c>
      <c r="D185" s="5" t="str">
        <f t="shared" si="1"/>
        <v>MH-AE-BP-2015</v>
      </c>
      <c r="E185" s="6" t="str">
        <f>IF(ISNA(VLOOKUP(A185,'SIR States'!$A:$A,1,FALSE)),"No","Yes")</f>
        <v>Yes</v>
      </c>
      <c r="H185" s="4" t="str">
        <f>VLOOKUP(D185,'25th May'!$D:$D,1,0)</f>
        <v>MH-AE-BP-2015</v>
      </c>
    </row>
    <row r="186">
      <c r="A186" s="5" t="s">
        <v>44</v>
      </c>
      <c r="B186" s="5" t="s">
        <v>18</v>
      </c>
      <c r="C186" s="5">
        <v>2012.0</v>
      </c>
      <c r="D186" s="5" t="str">
        <f t="shared" si="1"/>
        <v>MH-AE-BP-2012</v>
      </c>
      <c r="E186" s="6" t="str">
        <f>IF(ISNA(VLOOKUP(A186,'SIR States'!$A:$A,1,FALSE)),"No","Yes")</f>
        <v>Yes</v>
      </c>
      <c r="H186" s="4" t="str">
        <f>VLOOKUP(D186,'25th May'!$D:$D,1,0)</f>
        <v>MH-AE-BP-2012</v>
      </c>
    </row>
    <row r="187">
      <c r="A187" s="5" t="s">
        <v>44</v>
      </c>
      <c r="B187" s="5" t="s">
        <v>18</v>
      </c>
      <c r="C187" s="5">
        <v>2011.0</v>
      </c>
      <c r="D187" s="5" t="str">
        <f t="shared" si="1"/>
        <v>MH-AE-BP-2011</v>
      </c>
      <c r="E187" s="6" t="str">
        <f>IF(ISNA(VLOOKUP(A187,'SIR States'!$A:$A,1,FALSE)),"No","Yes")</f>
        <v>Yes</v>
      </c>
      <c r="H187" s="4" t="str">
        <f>VLOOKUP(D187,'25th May'!$D:$D,1,0)</f>
        <v>MH-AE-BP-2011</v>
      </c>
    </row>
    <row r="188">
      <c r="A188" s="5" t="s">
        <v>44</v>
      </c>
      <c r="B188" s="5" t="s">
        <v>18</v>
      </c>
      <c r="C188" s="5">
        <v>2010.0</v>
      </c>
      <c r="D188" s="5" t="str">
        <f t="shared" si="1"/>
        <v>MH-AE-BP-2010</v>
      </c>
      <c r="E188" s="6" t="str">
        <f>IF(ISNA(VLOOKUP(A188,'SIR States'!$A:$A,1,FALSE)),"No","Yes")</f>
        <v>Yes</v>
      </c>
      <c r="H188" s="4" t="str">
        <f>VLOOKUP(D188,'25th May'!$D:$D,1,0)</f>
        <v>MH-AE-BP-2010</v>
      </c>
    </row>
    <row r="189">
      <c r="A189" s="5" t="s">
        <v>36</v>
      </c>
      <c r="B189" s="5" t="s">
        <v>13</v>
      </c>
      <c r="C189" s="5">
        <v>2014.0</v>
      </c>
      <c r="D189" s="5" t="str">
        <f t="shared" si="1"/>
        <v>SK-AE-2014</v>
      </c>
      <c r="E189" s="6" t="str">
        <f>IF(ISNA(VLOOKUP(A189,'SIR States'!$A:$A,1,FALSE)),"No","Yes")</f>
        <v>No</v>
      </c>
      <c r="H189" s="4" t="str">
        <f>VLOOKUP(D189,'25th May'!$D:$D,1,0)</f>
        <v>SK-AE-2014</v>
      </c>
    </row>
    <row r="190">
      <c r="A190" s="5" t="s">
        <v>36</v>
      </c>
      <c r="B190" s="5" t="s">
        <v>21</v>
      </c>
      <c r="C190" s="5">
        <v>2014.0</v>
      </c>
      <c r="D190" s="5" t="str">
        <f t="shared" si="1"/>
        <v>SK-GE-2014</v>
      </c>
      <c r="E190" s="6" t="str">
        <f>IF(ISNA(VLOOKUP(A190,'SIR States'!$A:$A,1,FALSE)),"No","Yes")</f>
        <v>No</v>
      </c>
      <c r="H190" s="4" t="str">
        <f>VLOOKUP(D190,'25th May'!$D:$D,1,0)</f>
        <v>SK-GE-2014</v>
      </c>
    </row>
    <row r="191">
      <c r="A191" s="5" t="s">
        <v>19</v>
      </c>
      <c r="B191" s="5" t="s">
        <v>21</v>
      </c>
      <c r="C191" s="5">
        <v>2014.0</v>
      </c>
      <c r="D191" s="5" t="str">
        <f t="shared" si="1"/>
        <v>TR-GE-2014</v>
      </c>
      <c r="E191" s="6" t="str">
        <f>IF(ISNA(VLOOKUP(A191,'SIR States'!$A:$A,1,FALSE)),"No","Yes")</f>
        <v>No</v>
      </c>
      <c r="H191" s="4" t="str">
        <f>VLOOKUP(D191,'25th May'!$D:$D,1,0)</f>
        <v>TR-GE-2014</v>
      </c>
    </row>
    <row r="192">
      <c r="A192" s="5" t="s">
        <v>44</v>
      </c>
      <c r="B192" s="5" t="s">
        <v>22</v>
      </c>
      <c r="C192" s="5">
        <v>2024.0</v>
      </c>
      <c r="D192" s="5" t="str">
        <f t="shared" si="1"/>
        <v>MH-GE-BP-2024</v>
      </c>
      <c r="E192" s="6" t="str">
        <f>IF(ISNA(VLOOKUP(A192,'SIR States'!$A:$A,1,FALSE)),"No","Yes")</f>
        <v>Yes</v>
      </c>
      <c r="H192" s="4" t="str">
        <f>VLOOKUP(D192,'25th May'!$D:$D,1,0)</f>
        <v>MH-GE-BP-2024</v>
      </c>
    </row>
    <row r="193">
      <c r="A193" s="5" t="s">
        <v>44</v>
      </c>
      <c r="B193" s="5" t="s">
        <v>22</v>
      </c>
      <c r="C193" s="5">
        <v>2019.0</v>
      </c>
      <c r="D193" s="5" t="str">
        <f t="shared" si="1"/>
        <v>MH-GE-BP-2019</v>
      </c>
      <c r="E193" s="6" t="str">
        <f>IF(ISNA(VLOOKUP(A193,'SIR States'!$A:$A,1,FALSE)),"No","Yes")</f>
        <v>Yes</v>
      </c>
      <c r="H193" s="4" t="str">
        <f>VLOOKUP(D193,'25th May'!$D:$D,1,0)</f>
        <v>MH-GE-BP-2019</v>
      </c>
    </row>
    <row r="194">
      <c r="A194" s="5" t="s">
        <v>44</v>
      </c>
      <c r="B194" s="5" t="s">
        <v>22</v>
      </c>
      <c r="C194" s="5">
        <v>2018.0</v>
      </c>
      <c r="D194" s="5" t="str">
        <f t="shared" si="1"/>
        <v>MH-GE-BP-2018</v>
      </c>
      <c r="E194" s="6" t="str">
        <f>IF(ISNA(VLOOKUP(A194,'SIR States'!$A:$A,1,FALSE)),"No","Yes")</f>
        <v>Yes</v>
      </c>
      <c r="H194" s="4" t="str">
        <f>VLOOKUP(D194,'25th May'!$D:$D,1,0)</f>
        <v>MH-GE-BP-2018</v>
      </c>
    </row>
    <row r="195">
      <c r="A195" s="5" t="s">
        <v>44</v>
      </c>
      <c r="B195" s="5" t="s">
        <v>22</v>
      </c>
      <c r="C195" s="5">
        <v>2014.0</v>
      </c>
      <c r="D195" s="5" t="str">
        <f t="shared" si="1"/>
        <v>MH-GE-BP-2014</v>
      </c>
      <c r="E195" s="6" t="str">
        <f>IF(ISNA(VLOOKUP(A195,'SIR States'!$A:$A,1,FALSE)),"No","Yes")</f>
        <v>Yes</v>
      </c>
      <c r="H195" s="4" t="str">
        <f>VLOOKUP(D195,'25th May'!$D:$D,1,0)</f>
        <v>MH-GE-BP-2014</v>
      </c>
    </row>
    <row r="196">
      <c r="A196" s="5" t="s">
        <v>38</v>
      </c>
      <c r="B196" s="5" t="s">
        <v>13</v>
      </c>
      <c r="C196" s="5">
        <v>2014.0</v>
      </c>
      <c r="D196" s="5" t="str">
        <f t="shared" si="1"/>
        <v>TS-AE-2014</v>
      </c>
      <c r="E196" s="6" t="str">
        <f>IF(ISNA(VLOOKUP(A196,'SIR States'!$A:$A,1,FALSE)),"No","Yes")</f>
        <v>No</v>
      </c>
      <c r="H196" s="4" t="str">
        <f>VLOOKUP(D196,'25th May'!$D:$D,1,0)</f>
        <v>TS-AE-2014</v>
      </c>
    </row>
    <row r="197">
      <c r="A197" s="5" t="s">
        <v>38</v>
      </c>
      <c r="B197" s="5" t="s">
        <v>21</v>
      </c>
      <c r="C197" s="5">
        <v>2014.0</v>
      </c>
      <c r="D197" s="5" t="str">
        <f t="shared" si="1"/>
        <v>TS-GE-2014</v>
      </c>
      <c r="E197" s="6" t="str">
        <f>IF(ISNA(VLOOKUP(A197,'SIR States'!$A:$A,1,FALSE)),"No","Yes")</f>
        <v>No</v>
      </c>
      <c r="H197" s="4" t="str">
        <f>VLOOKUP(D197,'25th May'!$D:$D,1,0)</f>
        <v>TS-GE-2014</v>
      </c>
    </row>
    <row r="198">
      <c r="A198" s="5" t="s">
        <v>39</v>
      </c>
      <c r="B198" s="5" t="s">
        <v>13</v>
      </c>
      <c r="C198" s="5">
        <v>2016.0</v>
      </c>
      <c r="D198" s="5" t="str">
        <f t="shared" si="1"/>
        <v>WB-AE-2016</v>
      </c>
      <c r="E198" s="6" t="str">
        <f>IF(ISNA(VLOOKUP(A198,'SIR States'!$A:$A,1,FALSE)),"No","Yes")</f>
        <v>No</v>
      </c>
      <c r="H198" s="4" t="str">
        <f>VLOOKUP(D198,'25th May'!$D:$D,1,0)</f>
        <v>WB-AE-2016</v>
      </c>
    </row>
    <row r="199">
      <c r="A199" s="5" t="s">
        <v>33</v>
      </c>
      <c r="B199" s="5" t="s">
        <v>18</v>
      </c>
      <c r="C199" s="5">
        <v>2020.0</v>
      </c>
      <c r="D199" s="5" t="str">
        <f t="shared" si="1"/>
        <v>ML-AE-BP-2020</v>
      </c>
      <c r="E199" s="6" t="str">
        <f>IF(ISNA(VLOOKUP(A199,'SIR States'!$A:$A,1,FALSE)),"No","Yes")</f>
        <v>No</v>
      </c>
      <c r="H199" s="4" t="str">
        <f>VLOOKUP(D199,'25th May'!$D:$D,1,0)</f>
        <v>ML-AE-BP-2020</v>
      </c>
    </row>
    <row r="200">
      <c r="A200" s="5" t="s">
        <v>33</v>
      </c>
      <c r="B200" s="5" t="s">
        <v>18</v>
      </c>
      <c r="C200" s="5">
        <v>2019.0</v>
      </c>
      <c r="D200" s="5" t="str">
        <f t="shared" si="1"/>
        <v>ML-AE-BP-2019</v>
      </c>
      <c r="E200" s="6" t="str">
        <f>IF(ISNA(VLOOKUP(A200,'SIR States'!$A:$A,1,FALSE)),"No","Yes")</f>
        <v>No</v>
      </c>
      <c r="H200" s="4" t="str">
        <f>VLOOKUP(D200,'25th May'!$D:$D,1,0)</f>
        <v>ML-AE-BP-2019</v>
      </c>
    </row>
    <row r="201">
      <c r="A201" s="5" t="s">
        <v>33</v>
      </c>
      <c r="B201" s="5" t="s">
        <v>18</v>
      </c>
      <c r="C201" s="5">
        <v>2018.0</v>
      </c>
      <c r="D201" s="5" t="str">
        <f t="shared" si="1"/>
        <v>ML-AE-BP-2018</v>
      </c>
      <c r="E201" s="6" t="str">
        <f>IF(ISNA(VLOOKUP(A201,'SIR States'!$A:$A,1,FALSE)),"No","Yes")</f>
        <v>No</v>
      </c>
      <c r="H201" s="4" t="str">
        <f>VLOOKUP(D201,'25th May'!$D:$D,1,0)</f>
        <v>ML-AE-BP-2018</v>
      </c>
    </row>
    <row r="202">
      <c r="A202" s="5" t="s">
        <v>33</v>
      </c>
      <c r="B202" s="5" t="s">
        <v>18</v>
      </c>
      <c r="C202" s="5">
        <v>2015.0</v>
      </c>
      <c r="D202" s="5" t="str">
        <f t="shared" si="1"/>
        <v>ML-AE-BP-2015</v>
      </c>
      <c r="E202" s="6" t="str">
        <f>IF(ISNA(VLOOKUP(A202,'SIR States'!$A:$A,1,FALSE)),"No","Yes")</f>
        <v>No</v>
      </c>
      <c r="H202" s="4" t="str">
        <f>VLOOKUP(D202,'25th May'!$D:$D,1,0)</f>
        <v>ML-AE-BP-2015</v>
      </c>
    </row>
    <row r="203">
      <c r="A203" s="5" t="s">
        <v>33</v>
      </c>
      <c r="B203" s="5" t="s">
        <v>18</v>
      </c>
      <c r="C203" s="5">
        <v>2009.0</v>
      </c>
      <c r="D203" s="5" t="str">
        <f t="shared" si="1"/>
        <v>ML-AE-BP-2009</v>
      </c>
      <c r="E203" s="6" t="str">
        <f>IF(ISNA(VLOOKUP(A203,'SIR States'!$A:$A,1,FALSE)),"No","Yes")</f>
        <v>No</v>
      </c>
      <c r="H203" s="4" t="str">
        <f>VLOOKUP(D203,'25th May'!$D:$D,1,0)</f>
        <v>ML-AE-BP-2009</v>
      </c>
    </row>
    <row r="204">
      <c r="A204" s="5" t="s">
        <v>27</v>
      </c>
      <c r="B204" s="5" t="s">
        <v>13</v>
      </c>
      <c r="C204" s="5">
        <v>2017.0</v>
      </c>
      <c r="D204" s="5" t="str">
        <f t="shared" si="1"/>
        <v>GJ-AE-2017</v>
      </c>
      <c r="E204" s="6" t="str">
        <f>IF(ISNA(VLOOKUP(A204,'SIR States'!$A:$A,1,FALSE)),"No","Yes")</f>
        <v>No</v>
      </c>
      <c r="H204" s="4" t="str">
        <f>VLOOKUP(D204,'25th May'!$D:$D,1,0)</f>
        <v>GJ-AE-2017</v>
      </c>
    </row>
    <row r="205">
      <c r="A205" s="5" t="s">
        <v>33</v>
      </c>
      <c r="B205" s="5" t="s">
        <v>13</v>
      </c>
      <c r="C205" s="5">
        <v>2018.0</v>
      </c>
      <c r="D205" s="5" t="str">
        <f t="shared" si="1"/>
        <v>ML-AE-2018</v>
      </c>
      <c r="E205" s="6" t="str">
        <f>IF(ISNA(VLOOKUP(A205,'SIR States'!$A:$A,1,FALSE)),"No","Yes")</f>
        <v>No</v>
      </c>
      <c r="H205" s="4" t="str">
        <f>VLOOKUP(D205,'25th May'!$D:$D,1,0)</f>
        <v>ML-AE-2018</v>
      </c>
    </row>
    <row r="206">
      <c r="A206" s="5" t="s">
        <v>33</v>
      </c>
      <c r="B206" s="5" t="s">
        <v>22</v>
      </c>
      <c r="C206" s="5">
        <v>2016.0</v>
      </c>
      <c r="D206" s="5" t="str">
        <f t="shared" si="1"/>
        <v>ML-GE-BP-2016</v>
      </c>
      <c r="E206" s="6" t="str">
        <f>IF(ISNA(VLOOKUP(A206,'SIR States'!$A:$A,1,FALSE)),"No","Yes")</f>
        <v>No</v>
      </c>
      <c r="H206" s="4" t="str">
        <f>VLOOKUP(D206,'25th May'!$D:$D,1,0)</f>
        <v>ML-GE-BP-2016</v>
      </c>
    </row>
    <row r="207">
      <c r="A207" s="5" t="s">
        <v>33</v>
      </c>
      <c r="B207" s="5" t="s">
        <v>22</v>
      </c>
      <c r="C207" s="5">
        <v>2008.0</v>
      </c>
      <c r="D207" s="5" t="str">
        <f t="shared" si="1"/>
        <v>ML-GE-BP-2008</v>
      </c>
      <c r="E207" s="6" t="str">
        <f>IF(ISNA(VLOOKUP(A207,'SIR States'!$A:$A,1,FALSE)),"No","Yes")</f>
        <v>No</v>
      </c>
      <c r="H207" s="4" t="str">
        <f>VLOOKUP(D207,'25th May'!$D:$D,1,0)</f>
        <v>ML-GE-BP-2008</v>
      </c>
    </row>
    <row r="208">
      <c r="A208" s="5" t="s">
        <v>34</v>
      </c>
      <c r="B208" s="5" t="s">
        <v>18</v>
      </c>
      <c r="C208" s="5">
        <v>2020.0</v>
      </c>
      <c r="D208" s="5" t="str">
        <f t="shared" si="1"/>
        <v>MN-AE-BP-2020</v>
      </c>
      <c r="E208" s="6" t="str">
        <f>IF(ISNA(VLOOKUP(A208,'SIR States'!$A:$A,1,FALSE)),"No","Yes")</f>
        <v>No</v>
      </c>
      <c r="H208" s="4" t="str">
        <f>VLOOKUP(D208,'25th May'!$D:$D,1,0)</f>
        <v>MN-AE-BP-2020</v>
      </c>
    </row>
    <row r="209">
      <c r="A209" s="5" t="s">
        <v>34</v>
      </c>
      <c r="B209" s="5" t="s">
        <v>18</v>
      </c>
      <c r="C209" s="5">
        <v>2015.0</v>
      </c>
      <c r="D209" s="5" t="str">
        <f t="shared" si="1"/>
        <v>MN-AE-BP-2015</v>
      </c>
      <c r="E209" s="6" t="str">
        <f>IF(ISNA(VLOOKUP(A209,'SIR States'!$A:$A,1,FALSE)),"No","Yes")</f>
        <v>No</v>
      </c>
      <c r="H209" s="4" t="str">
        <f>VLOOKUP(D209,'25th May'!$D:$D,1,0)</f>
        <v>MN-AE-BP-2015</v>
      </c>
    </row>
    <row r="210">
      <c r="A210" s="5" t="s">
        <v>34</v>
      </c>
      <c r="B210" s="5" t="s">
        <v>18</v>
      </c>
      <c r="C210" s="5">
        <v>2014.0</v>
      </c>
      <c r="D210" s="5" t="str">
        <f t="shared" si="1"/>
        <v>MN-AE-BP-2014</v>
      </c>
      <c r="E210" s="6" t="str">
        <f>IF(ISNA(VLOOKUP(A210,'SIR States'!$A:$A,1,FALSE)),"No","Yes")</f>
        <v>No</v>
      </c>
      <c r="H210" s="4" t="str">
        <f>VLOOKUP(D210,'25th May'!$D:$D,1,0)</f>
        <v>MN-AE-BP-2014</v>
      </c>
    </row>
    <row r="211">
      <c r="A211" s="5" t="s">
        <v>15</v>
      </c>
      <c r="B211" s="5" t="s">
        <v>13</v>
      </c>
      <c r="C211" s="5">
        <v>2018.0</v>
      </c>
      <c r="D211" s="5" t="str">
        <f t="shared" si="1"/>
        <v>MP-AE-2018</v>
      </c>
      <c r="E211" s="6" t="str">
        <f>IF(ISNA(VLOOKUP(A211,'SIR States'!$A:$A,1,FALSE)),"No","Yes")</f>
        <v>No</v>
      </c>
      <c r="H211" s="4" t="str">
        <f>VLOOKUP(D211,'25th May'!$D:$D,1,0)</f>
        <v>MP-AE-2018</v>
      </c>
    </row>
    <row r="212">
      <c r="A212" s="5" t="s">
        <v>16</v>
      </c>
      <c r="B212" s="5" t="s">
        <v>13</v>
      </c>
      <c r="C212" s="5">
        <v>2018.0</v>
      </c>
      <c r="D212" s="5" t="str">
        <f t="shared" si="1"/>
        <v>MZ-AE-2018</v>
      </c>
      <c r="E212" s="6" t="str">
        <f>IF(ISNA(VLOOKUP(A212,'SIR States'!$A:$A,1,FALSE)),"No","Yes")</f>
        <v>No</v>
      </c>
      <c r="H212" s="4" t="str">
        <f>VLOOKUP(D212,'25th May'!$D:$D,1,0)</f>
        <v>MZ-AE-2018</v>
      </c>
    </row>
    <row r="213">
      <c r="A213" s="5" t="s">
        <v>35</v>
      </c>
      <c r="B213" s="5" t="s">
        <v>13</v>
      </c>
      <c r="C213" s="5">
        <v>2018.0</v>
      </c>
      <c r="D213" s="5" t="str">
        <f t="shared" si="1"/>
        <v>NL-AE-2018</v>
      </c>
      <c r="E213" s="6" t="str">
        <f>IF(ISNA(VLOOKUP(A213,'SIR States'!$A:$A,1,FALSE)),"No","Yes")</f>
        <v>No</v>
      </c>
      <c r="H213" s="4" t="str">
        <f>VLOOKUP(D213,'25th May'!$D:$D,1,0)</f>
        <v>NL-AE-2018</v>
      </c>
    </row>
    <row r="214">
      <c r="A214" s="5" t="s">
        <v>19</v>
      </c>
      <c r="B214" s="5" t="s">
        <v>13</v>
      </c>
      <c r="C214" s="5">
        <v>2018.0</v>
      </c>
      <c r="D214" s="5" t="str">
        <f t="shared" si="1"/>
        <v>TR-AE-2018</v>
      </c>
      <c r="E214" s="6" t="str">
        <f>IF(ISNA(VLOOKUP(A214,'SIR States'!$A:$A,1,FALSE)),"No","Yes")</f>
        <v>No</v>
      </c>
      <c r="H214" s="4" t="str">
        <f>VLOOKUP(D214,'25th May'!$D:$D,1,0)</f>
        <v>TR-AE-2018</v>
      </c>
    </row>
    <row r="215">
      <c r="A215" s="5" t="s">
        <v>38</v>
      </c>
      <c r="B215" s="5" t="s">
        <v>13</v>
      </c>
      <c r="C215" s="5">
        <v>2018.0</v>
      </c>
      <c r="D215" s="5" t="str">
        <f t="shared" si="1"/>
        <v>TS-AE-2018</v>
      </c>
      <c r="E215" s="6" t="str">
        <f>IF(ISNA(VLOOKUP(A215,'SIR States'!$A:$A,1,FALSE)),"No","Yes")</f>
        <v>No</v>
      </c>
      <c r="H215" s="4" t="str">
        <f>VLOOKUP(D215,'25th May'!$D:$D,1,0)</f>
        <v>TS-AE-2018</v>
      </c>
    </row>
    <row r="216">
      <c r="A216" s="5" t="s">
        <v>15</v>
      </c>
      <c r="B216" s="5" t="s">
        <v>18</v>
      </c>
      <c r="C216" s="5">
        <v>2024.0</v>
      </c>
      <c r="D216" s="5" t="str">
        <f t="shared" si="1"/>
        <v>MP-AE-BP-2024</v>
      </c>
      <c r="E216" s="6" t="str">
        <f>IF(ISNA(VLOOKUP(A216,'SIR States'!$A:$A,1,FALSE)),"No","Yes")</f>
        <v>No</v>
      </c>
      <c r="H216" s="4" t="str">
        <f>VLOOKUP(D216,'25th May'!$D:$D,1,0)</f>
        <v>MP-AE-BP-2024</v>
      </c>
    </row>
    <row r="217">
      <c r="A217" s="5" t="s">
        <v>15</v>
      </c>
      <c r="B217" s="5" t="s">
        <v>18</v>
      </c>
      <c r="C217" s="5">
        <v>2021.0</v>
      </c>
      <c r="D217" s="5" t="str">
        <f t="shared" si="1"/>
        <v>MP-AE-BP-2021</v>
      </c>
      <c r="E217" s="6" t="str">
        <f>IF(ISNA(VLOOKUP(A217,'SIR States'!$A:$A,1,FALSE)),"No","Yes")</f>
        <v>No</v>
      </c>
      <c r="H217" s="4" t="str">
        <f>VLOOKUP(D217,'25th May'!$D:$D,1,0)</f>
        <v>MP-AE-BP-2021</v>
      </c>
    </row>
    <row r="218">
      <c r="A218" s="5" t="s">
        <v>15</v>
      </c>
      <c r="B218" s="5" t="s">
        <v>18</v>
      </c>
      <c r="C218" s="5">
        <v>2020.0</v>
      </c>
      <c r="D218" s="5" t="str">
        <f t="shared" si="1"/>
        <v>MP-AE-BP-2020</v>
      </c>
      <c r="E218" s="6" t="str">
        <f>IF(ISNA(VLOOKUP(A218,'SIR States'!$A:$A,1,FALSE)),"No","Yes")</f>
        <v>No</v>
      </c>
      <c r="H218" s="4" t="str">
        <f>VLOOKUP(D218,'25th May'!$D:$D,1,0)</f>
        <v>MP-AE-BP-2020</v>
      </c>
    </row>
    <row r="219">
      <c r="A219" s="5" t="s">
        <v>15</v>
      </c>
      <c r="B219" s="5" t="s">
        <v>18</v>
      </c>
      <c r="C219" s="5">
        <v>2019.0</v>
      </c>
      <c r="D219" s="5" t="str">
        <f t="shared" si="1"/>
        <v>MP-AE-BP-2019</v>
      </c>
      <c r="E219" s="6" t="str">
        <f>IF(ISNA(VLOOKUP(A219,'SIR States'!$A:$A,1,FALSE)),"No","Yes")</f>
        <v>No</v>
      </c>
      <c r="H219" s="4" t="str">
        <f>VLOOKUP(D219,'25th May'!$D:$D,1,0)</f>
        <v>MP-AE-BP-2019</v>
      </c>
    </row>
    <row r="220">
      <c r="A220" s="5" t="s">
        <v>15</v>
      </c>
      <c r="B220" s="5" t="s">
        <v>18</v>
      </c>
      <c r="C220" s="5">
        <v>2018.0</v>
      </c>
      <c r="D220" s="5" t="str">
        <f t="shared" si="1"/>
        <v>MP-AE-BP-2018</v>
      </c>
      <c r="E220" s="6" t="str">
        <f>IF(ISNA(VLOOKUP(A220,'SIR States'!$A:$A,1,FALSE)),"No","Yes")</f>
        <v>No</v>
      </c>
      <c r="H220" s="4" t="str">
        <f>VLOOKUP(D220,'25th May'!$D:$D,1,0)</f>
        <v>MP-AE-BP-2018</v>
      </c>
    </row>
    <row r="221">
      <c r="A221" s="5" t="s">
        <v>15</v>
      </c>
      <c r="B221" s="5" t="s">
        <v>18</v>
      </c>
      <c r="C221" s="5">
        <v>2017.0</v>
      </c>
      <c r="D221" s="5" t="str">
        <f t="shared" si="1"/>
        <v>MP-AE-BP-2017</v>
      </c>
      <c r="E221" s="6" t="str">
        <f>IF(ISNA(VLOOKUP(A221,'SIR States'!$A:$A,1,FALSE)),"No","Yes")</f>
        <v>No</v>
      </c>
      <c r="H221" s="4" t="str">
        <f>VLOOKUP(D221,'25th May'!$D:$D,1,0)</f>
        <v>MP-AE-BP-2017</v>
      </c>
    </row>
    <row r="222">
      <c r="A222" s="5" t="s">
        <v>15</v>
      </c>
      <c r="B222" s="5" t="s">
        <v>18</v>
      </c>
      <c r="C222" s="5">
        <v>2016.0</v>
      </c>
      <c r="D222" s="5" t="str">
        <f t="shared" si="1"/>
        <v>MP-AE-BP-2016</v>
      </c>
      <c r="E222" s="6" t="str">
        <f>IF(ISNA(VLOOKUP(A222,'SIR States'!$A:$A,1,FALSE)),"No","Yes")</f>
        <v>No</v>
      </c>
      <c r="H222" s="4" t="str">
        <f>VLOOKUP(D222,'25th May'!$D:$D,1,0)</f>
        <v>MP-AE-BP-2016</v>
      </c>
    </row>
    <row r="223">
      <c r="A223" s="5" t="s">
        <v>15</v>
      </c>
      <c r="B223" s="5" t="s">
        <v>18</v>
      </c>
      <c r="C223" s="5">
        <v>2015.0</v>
      </c>
      <c r="D223" s="5" t="str">
        <f t="shared" si="1"/>
        <v>MP-AE-BP-2015</v>
      </c>
      <c r="E223" s="6" t="str">
        <f>IF(ISNA(VLOOKUP(A223,'SIR States'!$A:$A,1,FALSE)),"No","Yes")</f>
        <v>No</v>
      </c>
      <c r="H223" s="4" t="str">
        <f>VLOOKUP(D223,'25th May'!$D:$D,1,0)</f>
        <v>MP-AE-BP-2015</v>
      </c>
    </row>
    <row r="224">
      <c r="A224" s="5" t="s">
        <v>15</v>
      </c>
      <c r="B224" s="5" t="s">
        <v>18</v>
      </c>
      <c r="C224" s="5">
        <v>2014.0</v>
      </c>
      <c r="D224" s="5" t="str">
        <f t="shared" si="1"/>
        <v>MP-AE-BP-2014</v>
      </c>
      <c r="E224" s="6" t="str">
        <f>IF(ISNA(VLOOKUP(A224,'SIR States'!$A:$A,1,FALSE)),"No","Yes")</f>
        <v>No</v>
      </c>
      <c r="H224" s="4" t="str">
        <f>VLOOKUP(D224,'25th May'!$D:$D,1,0)</f>
        <v>MP-AE-BP-2014</v>
      </c>
    </row>
    <row r="225">
      <c r="A225" s="5" t="s">
        <v>15</v>
      </c>
      <c r="B225" s="5" t="s">
        <v>18</v>
      </c>
      <c r="C225" s="5">
        <v>2011.0</v>
      </c>
      <c r="D225" s="5" t="str">
        <f t="shared" si="1"/>
        <v>MP-AE-BP-2011</v>
      </c>
      <c r="E225" s="6" t="str">
        <f>IF(ISNA(VLOOKUP(A225,'SIR States'!$A:$A,1,FALSE)),"No","Yes")</f>
        <v>No</v>
      </c>
      <c r="H225" s="4" t="str">
        <f>VLOOKUP(D225,'25th May'!$D:$D,1,0)</f>
        <v>MP-AE-BP-2011</v>
      </c>
    </row>
    <row r="226">
      <c r="A226" s="5" t="s">
        <v>15</v>
      </c>
      <c r="B226" s="5" t="s">
        <v>18</v>
      </c>
      <c r="C226" s="5">
        <v>2009.0</v>
      </c>
      <c r="D226" s="5" t="str">
        <f t="shared" si="1"/>
        <v>MP-AE-BP-2009</v>
      </c>
      <c r="E226" s="6" t="str">
        <f>IF(ISNA(VLOOKUP(A226,'SIR States'!$A:$A,1,FALSE)),"No","Yes")</f>
        <v>No</v>
      </c>
      <c r="H226" s="4" t="str">
        <f>VLOOKUP(D226,'25th May'!$D:$D,1,0)</f>
        <v>MP-AE-BP-2009</v>
      </c>
    </row>
    <row r="227">
      <c r="A227" s="5" t="s">
        <v>20</v>
      </c>
      <c r="B227" s="5" t="s">
        <v>21</v>
      </c>
      <c r="C227" s="5">
        <v>2019.0</v>
      </c>
      <c r="D227" s="5" t="str">
        <f t="shared" si="1"/>
        <v>AN-GE-2019</v>
      </c>
      <c r="E227" s="6" t="str">
        <f>IF(ISNA(VLOOKUP(A227,'SIR States'!$A:$A,1,FALSE)),"No","Yes")</f>
        <v>No</v>
      </c>
      <c r="H227" s="4" t="str">
        <f>VLOOKUP(D227,'25th May'!$D:$D,1,0)</f>
        <v>AN-GE-2019</v>
      </c>
    </row>
    <row r="228">
      <c r="A228" s="5" t="s">
        <v>17</v>
      </c>
      <c r="B228" s="5" t="s">
        <v>13</v>
      </c>
      <c r="C228" s="5">
        <v>2019.0</v>
      </c>
      <c r="D228" s="5" t="str">
        <f t="shared" si="1"/>
        <v>AP-AE-2019</v>
      </c>
      <c r="E228" s="6" t="str">
        <f>IF(ISNA(VLOOKUP(A228,'SIR States'!$A:$A,1,FALSE)),"No","Yes")</f>
        <v>Yes</v>
      </c>
      <c r="F228" s="7"/>
      <c r="G228" s="7"/>
      <c r="H228" s="4" t="str">
        <f>VLOOKUP(D228,'25th May'!$D:$D,1,0)</f>
        <v>AP-AE-2019</v>
      </c>
      <c r="I228" s="7"/>
    </row>
    <row r="229">
      <c r="A229" s="5" t="s">
        <v>17</v>
      </c>
      <c r="B229" s="5" t="s">
        <v>21</v>
      </c>
      <c r="C229" s="5">
        <v>2019.0</v>
      </c>
      <c r="D229" s="5" t="str">
        <f t="shared" si="1"/>
        <v>AP-GE-2019</v>
      </c>
      <c r="E229" s="6" t="str">
        <f>IF(ISNA(VLOOKUP(A229,'SIR States'!$A:$A,1,FALSE)),"No","Yes")</f>
        <v>Yes</v>
      </c>
      <c r="F229" s="7"/>
      <c r="G229" s="7"/>
      <c r="H229" s="4" t="str">
        <f>VLOOKUP(D229,'25th May'!$D:$D,1,0)</f>
        <v>AP-GE-2019</v>
      </c>
      <c r="I229" s="7"/>
    </row>
    <row r="230">
      <c r="A230" s="5" t="s">
        <v>23</v>
      </c>
      <c r="B230" s="5" t="s">
        <v>13</v>
      </c>
      <c r="C230" s="5">
        <v>2019.0</v>
      </c>
      <c r="D230" s="5" t="str">
        <f t="shared" si="1"/>
        <v>AR-AE-2019</v>
      </c>
      <c r="E230" s="6" t="str">
        <f>IF(ISNA(VLOOKUP(A230,'SIR States'!$A:$A,1,FALSE)),"No","Yes")</f>
        <v>No</v>
      </c>
      <c r="H230" s="4" t="str">
        <f>VLOOKUP(D230,'25th May'!$D:$D,1,0)</f>
        <v>AR-AE-2019</v>
      </c>
    </row>
    <row r="231">
      <c r="A231" s="5" t="s">
        <v>15</v>
      </c>
      <c r="B231" s="5" t="s">
        <v>22</v>
      </c>
      <c r="C231" s="5">
        <v>2021.0</v>
      </c>
      <c r="D231" s="5" t="str">
        <f t="shared" si="1"/>
        <v>MP-GE-BP-2021</v>
      </c>
      <c r="E231" s="6" t="str">
        <f>IF(ISNA(VLOOKUP(A231,'SIR States'!$A:$A,1,FALSE)),"No","Yes")</f>
        <v>No</v>
      </c>
      <c r="H231" s="4" t="str">
        <f>VLOOKUP(D231,'25th May'!$D:$D,1,0)</f>
        <v>MP-GE-BP-2021</v>
      </c>
    </row>
    <row r="232">
      <c r="A232" s="5" t="s">
        <v>15</v>
      </c>
      <c r="B232" s="5" t="s">
        <v>22</v>
      </c>
      <c r="C232" s="5">
        <v>2015.0</v>
      </c>
      <c r="D232" s="5" t="str">
        <f t="shared" si="1"/>
        <v>MP-GE-BP-2015</v>
      </c>
      <c r="E232" s="6" t="str">
        <f>IF(ISNA(VLOOKUP(A232,'SIR States'!$A:$A,1,FALSE)),"No","Yes")</f>
        <v>No</v>
      </c>
      <c r="H232" s="4" t="str">
        <f>VLOOKUP(D232,'25th May'!$D:$D,1,0)</f>
        <v>MP-GE-BP-2015</v>
      </c>
    </row>
    <row r="233">
      <c r="A233" s="5" t="s">
        <v>23</v>
      </c>
      <c r="B233" s="5" t="s">
        <v>21</v>
      </c>
      <c r="C233" s="5">
        <v>2019.0</v>
      </c>
      <c r="D233" s="5" t="str">
        <f t="shared" si="1"/>
        <v>AR-GE-2019</v>
      </c>
      <c r="E233" s="6" t="str">
        <f>IF(ISNA(VLOOKUP(A233,'SIR States'!$A:$A,1,FALSE)),"No","Yes")</f>
        <v>No</v>
      </c>
      <c r="H233" s="4" t="str">
        <f>VLOOKUP(D233,'25th May'!$D:$D,1,0)</f>
        <v>AR-GE-2019</v>
      </c>
    </row>
    <row r="234">
      <c r="A234" s="5" t="s">
        <v>24</v>
      </c>
      <c r="B234" s="5" t="s">
        <v>21</v>
      </c>
      <c r="C234" s="5">
        <v>2019.0</v>
      </c>
      <c r="D234" s="5" t="str">
        <f t="shared" si="1"/>
        <v>DD-GE-2019</v>
      </c>
      <c r="E234" s="6" t="str">
        <f>IF(ISNA(VLOOKUP(A234,'SIR States'!$A:$A,1,FALSE)),"No","Yes")</f>
        <v>No</v>
      </c>
      <c r="H234" s="4" t="str">
        <f>VLOOKUP(D234,'25th May'!$D:$D,1,0)</f>
        <v>DD-GE-2019</v>
      </c>
    </row>
    <row r="235">
      <c r="A235" s="5" t="s">
        <v>25</v>
      </c>
      <c r="B235" s="5" t="s">
        <v>21</v>
      </c>
      <c r="C235" s="5">
        <v>2019.0</v>
      </c>
      <c r="D235" s="5" t="str">
        <f t="shared" si="1"/>
        <v>DN-GE-2019</v>
      </c>
      <c r="E235" s="6" t="str">
        <f>IF(ISNA(VLOOKUP(A235,'SIR States'!$A:$A,1,FALSE)),"No","Yes")</f>
        <v>No</v>
      </c>
      <c r="H235" s="4" t="str">
        <f>VLOOKUP(D235,'25th May'!$D:$D,1,0)</f>
        <v>DN-GE-2019</v>
      </c>
    </row>
    <row r="236">
      <c r="A236" s="5" t="s">
        <v>16</v>
      </c>
      <c r="B236" s="5" t="s">
        <v>18</v>
      </c>
      <c r="C236" s="5">
        <v>2021.0</v>
      </c>
      <c r="D236" s="5" t="str">
        <f t="shared" si="1"/>
        <v>MZ-AE-BP-2021</v>
      </c>
      <c r="E236" s="6" t="str">
        <f>IF(ISNA(VLOOKUP(A236,'SIR States'!$A:$A,1,FALSE)),"No","Yes")</f>
        <v>No</v>
      </c>
      <c r="H236" s="4" t="str">
        <f>VLOOKUP(D236,'25th May'!$D:$D,1,0)</f>
        <v>MZ-AE-BP-2021</v>
      </c>
    </row>
    <row r="237">
      <c r="A237" s="5" t="s">
        <v>16</v>
      </c>
      <c r="B237" s="5" t="s">
        <v>18</v>
      </c>
      <c r="C237" s="5">
        <v>2019.0</v>
      </c>
      <c r="D237" s="5" t="str">
        <f t="shared" si="1"/>
        <v>MZ-AE-BP-2019</v>
      </c>
      <c r="E237" s="6" t="str">
        <f>IF(ISNA(VLOOKUP(A237,'SIR States'!$A:$A,1,FALSE)),"No","Yes")</f>
        <v>No</v>
      </c>
      <c r="H237" s="4" t="str">
        <f>VLOOKUP(D237,'25th May'!$D:$D,1,0)</f>
        <v>MZ-AE-BP-2019</v>
      </c>
    </row>
    <row r="238">
      <c r="A238" s="5" t="s">
        <v>16</v>
      </c>
      <c r="B238" s="5" t="s">
        <v>18</v>
      </c>
      <c r="C238" s="5">
        <v>2015.0</v>
      </c>
      <c r="D238" s="5" t="str">
        <f t="shared" si="1"/>
        <v>MZ-AE-BP-2015</v>
      </c>
      <c r="E238" s="6" t="str">
        <f>IF(ISNA(VLOOKUP(A238,'SIR States'!$A:$A,1,FALSE)),"No","Yes")</f>
        <v>No</v>
      </c>
      <c r="H238" s="4" t="str">
        <f>VLOOKUP(D238,'25th May'!$D:$D,1,0)</f>
        <v>MZ-AE-BP-2015</v>
      </c>
    </row>
    <row r="239">
      <c r="A239" s="5" t="s">
        <v>16</v>
      </c>
      <c r="B239" s="5" t="s">
        <v>18</v>
      </c>
      <c r="C239" s="5">
        <v>2014.0</v>
      </c>
      <c r="D239" s="5" t="str">
        <f t="shared" si="1"/>
        <v>MZ-AE-BP-2014</v>
      </c>
      <c r="E239" s="6" t="str">
        <f>IF(ISNA(VLOOKUP(A239,'SIR States'!$A:$A,1,FALSE)),"No","Yes")</f>
        <v>No</v>
      </c>
      <c r="H239" s="4" t="str">
        <f>VLOOKUP(D239,'25th May'!$D:$D,1,0)</f>
        <v>MZ-AE-BP-2014</v>
      </c>
    </row>
    <row r="240">
      <c r="A240" s="5" t="s">
        <v>16</v>
      </c>
      <c r="B240" s="5" t="s">
        <v>18</v>
      </c>
      <c r="C240" s="5">
        <v>2013.0</v>
      </c>
      <c r="D240" s="5" t="str">
        <f t="shared" si="1"/>
        <v>MZ-AE-BP-2013</v>
      </c>
      <c r="E240" s="6" t="str">
        <f>IF(ISNA(VLOOKUP(A240,'SIR States'!$A:$A,1,FALSE)),"No","Yes")</f>
        <v>No</v>
      </c>
      <c r="H240" s="4" t="str">
        <f>VLOOKUP(D240,'25th May'!$D:$D,1,0)</f>
        <v>MZ-AE-BP-2013</v>
      </c>
    </row>
    <row r="241">
      <c r="A241" s="5" t="s">
        <v>27</v>
      </c>
      <c r="B241" s="5" t="s">
        <v>21</v>
      </c>
      <c r="C241" s="5">
        <v>2019.0</v>
      </c>
      <c r="D241" s="5" t="str">
        <f t="shared" si="1"/>
        <v>GJ-GE-2019</v>
      </c>
      <c r="E241" s="6" t="str">
        <f>IF(ISNA(VLOOKUP(A241,'SIR States'!$A:$A,1,FALSE)),"No","Yes")</f>
        <v>No</v>
      </c>
      <c r="H241" s="4" t="str">
        <f>VLOOKUP(D241,'25th May'!$D:$D,1,0)</f>
        <v>GJ-GE-2019</v>
      </c>
    </row>
    <row r="242">
      <c r="A242" s="5" t="s">
        <v>31</v>
      </c>
      <c r="B242" s="5" t="s">
        <v>21</v>
      </c>
      <c r="C242" s="5">
        <v>2019.0</v>
      </c>
      <c r="D242" s="5" t="str">
        <f t="shared" si="1"/>
        <v>LA-GE-2019</v>
      </c>
      <c r="E242" s="6" t="str">
        <f>IF(ISNA(VLOOKUP(A242,'SIR States'!$A:$A,1,FALSE)),"No","Yes")</f>
        <v>Yes</v>
      </c>
      <c r="F242" s="7"/>
      <c r="G242" s="7"/>
      <c r="H242" s="4" t="str">
        <f>VLOOKUP(D242,'25th May'!$D:$D,1,0)</f>
        <v>LA-GE-2019</v>
      </c>
      <c r="I242" s="7"/>
    </row>
    <row r="243">
      <c r="A243" s="5" t="s">
        <v>32</v>
      </c>
      <c r="B243" s="5" t="s">
        <v>21</v>
      </c>
      <c r="C243" s="5">
        <v>2019.0</v>
      </c>
      <c r="D243" s="5" t="str">
        <f t="shared" si="1"/>
        <v>LD-GE-2019</v>
      </c>
      <c r="E243" s="6" t="str">
        <f>IF(ISNA(VLOOKUP(A243,'SIR States'!$A:$A,1,FALSE)),"No","Yes")</f>
        <v>No</v>
      </c>
      <c r="H243" s="4" t="str">
        <f>VLOOKUP(D243,'25th May'!$D:$D,1,0)</f>
        <v>LD-GE-2019</v>
      </c>
    </row>
    <row r="244">
      <c r="A244" s="5" t="s">
        <v>33</v>
      </c>
      <c r="B244" s="5" t="s">
        <v>21</v>
      </c>
      <c r="C244" s="5">
        <v>2019.0</v>
      </c>
      <c r="D244" s="5" t="str">
        <f t="shared" si="1"/>
        <v>ML-GE-2019</v>
      </c>
      <c r="E244" s="6" t="str">
        <f>IF(ISNA(VLOOKUP(A244,'SIR States'!$A:$A,1,FALSE)),"No","Yes")</f>
        <v>No</v>
      </c>
      <c r="H244" s="4" t="str">
        <f>VLOOKUP(D244,'25th May'!$D:$D,1,0)</f>
        <v>ML-GE-2019</v>
      </c>
    </row>
    <row r="245">
      <c r="A245" s="5" t="s">
        <v>35</v>
      </c>
      <c r="B245" s="5" t="s">
        <v>18</v>
      </c>
      <c r="C245" s="5">
        <v>2023.0</v>
      </c>
      <c r="D245" s="5" t="str">
        <f t="shared" si="1"/>
        <v>NL-AE-BP-2023</v>
      </c>
      <c r="E245" s="6" t="str">
        <f>IF(ISNA(VLOOKUP(A245,'SIR States'!$A:$A,1,FALSE)),"No","Yes")</f>
        <v>No</v>
      </c>
      <c r="H245" s="4" t="str">
        <f>VLOOKUP(D245,'25th May'!$D:$D,1,0)</f>
        <v>NL-AE-BP-2023</v>
      </c>
    </row>
    <row r="246">
      <c r="A246" s="5" t="s">
        <v>35</v>
      </c>
      <c r="B246" s="5" t="s">
        <v>18</v>
      </c>
      <c r="C246" s="5">
        <v>2019.0</v>
      </c>
      <c r="D246" s="5" t="str">
        <f t="shared" si="1"/>
        <v>NL-AE-BP-2019</v>
      </c>
      <c r="E246" s="6" t="str">
        <f>IF(ISNA(VLOOKUP(A246,'SIR States'!$A:$A,1,FALSE)),"No","Yes")</f>
        <v>No</v>
      </c>
      <c r="H246" s="4" t="str">
        <f>VLOOKUP(D246,'25th May'!$D:$D,1,0)</f>
        <v>NL-AE-BP-2019</v>
      </c>
    </row>
    <row r="247">
      <c r="A247" s="5" t="s">
        <v>35</v>
      </c>
      <c r="B247" s="5" t="s">
        <v>18</v>
      </c>
      <c r="C247" s="5">
        <v>2017.0</v>
      </c>
      <c r="D247" s="5" t="str">
        <f t="shared" si="1"/>
        <v>NL-AE-BP-2017</v>
      </c>
      <c r="E247" s="6" t="str">
        <f>IF(ISNA(VLOOKUP(A247,'SIR States'!$A:$A,1,FALSE)),"No","Yes")</f>
        <v>No</v>
      </c>
      <c r="H247" s="4" t="str">
        <f>VLOOKUP(D247,'25th May'!$D:$D,1,0)</f>
        <v>NL-AE-BP-2017</v>
      </c>
    </row>
    <row r="248">
      <c r="A248" s="5" t="s">
        <v>35</v>
      </c>
      <c r="B248" s="5" t="s">
        <v>18</v>
      </c>
      <c r="C248" s="5">
        <v>2011.0</v>
      </c>
      <c r="D248" s="5" t="str">
        <f t="shared" si="1"/>
        <v>NL-AE-BP-2011</v>
      </c>
      <c r="E248" s="6" t="str">
        <f>IF(ISNA(VLOOKUP(A248,'SIR States'!$A:$A,1,FALSE)),"No","Yes")</f>
        <v>No</v>
      </c>
      <c r="H248" s="4" t="str">
        <f>VLOOKUP(D248,'25th May'!$D:$D,1,0)</f>
        <v>NL-AE-BP-2011</v>
      </c>
    </row>
    <row r="249">
      <c r="A249" s="5" t="s">
        <v>35</v>
      </c>
      <c r="B249" s="5" t="s">
        <v>18</v>
      </c>
      <c r="C249" s="5">
        <v>2009.0</v>
      </c>
      <c r="D249" s="5" t="str">
        <f t="shared" si="1"/>
        <v>NL-AE-BP-2009</v>
      </c>
      <c r="E249" s="6" t="str">
        <f>IF(ISNA(VLOOKUP(A249,'SIR States'!$A:$A,1,FALSE)),"No","Yes")</f>
        <v>No</v>
      </c>
      <c r="H249" s="4" t="str">
        <f>VLOOKUP(D249,'25th May'!$D:$D,1,0)</f>
        <v>NL-AE-BP-2009</v>
      </c>
    </row>
    <row r="250">
      <c r="A250" s="5" t="s">
        <v>16</v>
      </c>
      <c r="B250" s="5" t="s">
        <v>21</v>
      </c>
      <c r="C250" s="5">
        <v>2019.0</v>
      </c>
      <c r="D250" s="5" t="str">
        <f t="shared" si="1"/>
        <v>MZ-GE-2019</v>
      </c>
      <c r="E250" s="6" t="str">
        <f>IF(ISNA(VLOOKUP(A250,'SIR States'!$A:$A,1,FALSE)),"No","Yes")</f>
        <v>No</v>
      </c>
      <c r="H250" s="4" t="str">
        <f>VLOOKUP(D250,'25th May'!$D:$D,1,0)</f>
        <v>MZ-GE-2019</v>
      </c>
    </row>
    <row r="251">
      <c r="A251" s="5" t="s">
        <v>35</v>
      </c>
      <c r="B251" s="5" t="s">
        <v>21</v>
      </c>
      <c r="C251" s="5">
        <v>2019.0</v>
      </c>
      <c r="D251" s="5" t="str">
        <f t="shared" si="1"/>
        <v>NL-GE-2019</v>
      </c>
      <c r="E251" s="6" t="str">
        <f>IF(ISNA(VLOOKUP(A251,'SIR States'!$A:$A,1,FALSE)),"No","Yes")</f>
        <v>No</v>
      </c>
      <c r="H251" s="4" t="str">
        <f>VLOOKUP(D251,'25th May'!$D:$D,1,0)</f>
        <v>NL-GE-2019</v>
      </c>
    </row>
    <row r="252">
      <c r="A252" s="5" t="s">
        <v>36</v>
      </c>
      <c r="B252" s="5" t="s">
        <v>13</v>
      </c>
      <c r="C252" s="5">
        <v>2019.0</v>
      </c>
      <c r="D252" s="5" t="str">
        <f t="shared" si="1"/>
        <v>SK-AE-2019</v>
      </c>
      <c r="E252" s="6" t="str">
        <f>IF(ISNA(VLOOKUP(A252,'SIR States'!$A:$A,1,FALSE)),"No","Yes")</f>
        <v>No</v>
      </c>
      <c r="H252" s="4" t="str">
        <f>VLOOKUP(D252,'25th May'!$D:$D,1,0)</f>
        <v>SK-AE-2019</v>
      </c>
    </row>
    <row r="253">
      <c r="A253" s="5" t="s">
        <v>45</v>
      </c>
      <c r="B253" s="5" t="s">
        <v>18</v>
      </c>
      <c r="C253" s="5">
        <v>2023.0</v>
      </c>
      <c r="D253" s="5" t="str">
        <f t="shared" si="1"/>
        <v>OR-AE-BP-2023</v>
      </c>
      <c r="E253" s="6" t="str">
        <f>IF(ISNA(VLOOKUP(A253,'SIR States'!$A:$A,1,FALSE)),"No","Yes")</f>
        <v>Yes</v>
      </c>
      <c r="H253" s="4" t="str">
        <f>VLOOKUP(D253,'25th May'!$D:$D,1,0)</f>
        <v>OR-AE-BP-2023</v>
      </c>
    </row>
    <row r="254">
      <c r="A254" s="5" t="s">
        <v>45</v>
      </c>
      <c r="B254" s="5" t="s">
        <v>18</v>
      </c>
      <c r="C254" s="5">
        <v>2022.0</v>
      </c>
      <c r="D254" s="5" t="str">
        <f t="shared" si="1"/>
        <v>OR-AE-BP-2022</v>
      </c>
      <c r="E254" s="6" t="str">
        <f>IF(ISNA(VLOOKUP(A254,'SIR States'!$A:$A,1,FALSE)),"No","Yes")</f>
        <v>Yes</v>
      </c>
      <c r="H254" s="4" t="str">
        <f>VLOOKUP(D254,'25th May'!$D:$D,1,0)</f>
        <v>OR-AE-BP-2022</v>
      </c>
    </row>
    <row r="255">
      <c r="A255" s="5" t="s">
        <v>45</v>
      </c>
      <c r="B255" s="5" t="s">
        <v>18</v>
      </c>
      <c r="C255" s="5">
        <v>2021.0</v>
      </c>
      <c r="D255" s="5" t="str">
        <f t="shared" si="1"/>
        <v>OR-AE-BP-2021</v>
      </c>
      <c r="E255" s="6" t="str">
        <f>IF(ISNA(VLOOKUP(A255,'SIR States'!$A:$A,1,FALSE)),"No","Yes")</f>
        <v>Yes</v>
      </c>
      <c r="H255" s="4" t="str">
        <f>VLOOKUP(D255,'25th May'!$D:$D,1,0)</f>
        <v>OR-AE-BP-2021</v>
      </c>
    </row>
    <row r="256">
      <c r="A256" s="5" t="s">
        <v>45</v>
      </c>
      <c r="B256" s="5" t="s">
        <v>18</v>
      </c>
      <c r="C256" s="5">
        <v>2020.0</v>
      </c>
      <c r="D256" s="5" t="str">
        <f t="shared" si="1"/>
        <v>OR-AE-BP-2020</v>
      </c>
      <c r="E256" s="6" t="str">
        <f>IF(ISNA(VLOOKUP(A256,'SIR States'!$A:$A,1,FALSE)),"No","Yes")</f>
        <v>Yes</v>
      </c>
      <c r="H256" s="4" t="str">
        <f>VLOOKUP(D256,'25th May'!$D:$D,1,0)</f>
        <v>OR-AE-BP-2020</v>
      </c>
    </row>
    <row r="257">
      <c r="A257" s="5" t="s">
        <v>45</v>
      </c>
      <c r="B257" s="5" t="s">
        <v>18</v>
      </c>
      <c r="C257" s="5">
        <v>2019.0</v>
      </c>
      <c r="D257" s="5" t="str">
        <f t="shared" si="1"/>
        <v>OR-AE-BP-2019</v>
      </c>
      <c r="E257" s="6" t="str">
        <f>IF(ISNA(VLOOKUP(A257,'SIR States'!$A:$A,1,FALSE)),"No","Yes")</f>
        <v>Yes</v>
      </c>
      <c r="H257" s="4" t="str">
        <f>VLOOKUP(D257,'25th May'!$D:$D,1,0)</f>
        <v>OR-AE-BP-2019</v>
      </c>
    </row>
    <row r="258">
      <c r="A258" s="5" t="s">
        <v>45</v>
      </c>
      <c r="B258" s="5" t="s">
        <v>18</v>
      </c>
      <c r="C258" s="5">
        <v>2012.0</v>
      </c>
      <c r="D258" s="5" t="str">
        <f t="shared" si="1"/>
        <v>OR-AE-BP-2012</v>
      </c>
      <c r="E258" s="6" t="str">
        <f>IF(ISNA(VLOOKUP(A258,'SIR States'!$A:$A,1,FALSE)),"No","Yes")</f>
        <v>Yes</v>
      </c>
      <c r="H258" s="4" t="str">
        <f>VLOOKUP(D258,'25th May'!$D:$D,1,0)</f>
        <v>OR-AE-BP-2012</v>
      </c>
    </row>
    <row r="259">
      <c r="A259" s="5" t="s">
        <v>45</v>
      </c>
      <c r="B259" s="5" t="s">
        <v>18</v>
      </c>
      <c r="C259" s="5">
        <v>2011.0</v>
      </c>
      <c r="D259" s="5" t="str">
        <f t="shared" si="1"/>
        <v>OR-AE-BP-2011</v>
      </c>
      <c r="E259" s="6" t="str">
        <f>IF(ISNA(VLOOKUP(A259,'SIR States'!$A:$A,1,FALSE)),"No","Yes")</f>
        <v>Yes</v>
      </c>
      <c r="H259" s="4" t="str">
        <f>VLOOKUP(D259,'25th May'!$D:$D,1,0)</f>
        <v>OR-AE-BP-2011</v>
      </c>
    </row>
    <row r="260">
      <c r="A260" s="5" t="s">
        <v>45</v>
      </c>
      <c r="B260" s="5" t="s">
        <v>18</v>
      </c>
      <c r="C260" s="5">
        <v>2008.0</v>
      </c>
      <c r="D260" s="5" t="str">
        <f t="shared" si="1"/>
        <v>OR-AE-BP-2008</v>
      </c>
      <c r="E260" s="6" t="str">
        <f>IF(ISNA(VLOOKUP(A260,'SIR States'!$A:$A,1,FALSE)),"No","Yes")</f>
        <v>Yes</v>
      </c>
      <c r="H260" s="4" t="str">
        <f>VLOOKUP(D260,'25th May'!$D:$D,1,0)</f>
        <v>OR-AE-BP-2008</v>
      </c>
    </row>
    <row r="261">
      <c r="A261" s="5" t="s">
        <v>45</v>
      </c>
      <c r="B261" s="5" t="s">
        <v>22</v>
      </c>
      <c r="C261" s="5">
        <v>2014.0</v>
      </c>
      <c r="D261" s="5" t="str">
        <f t="shared" si="1"/>
        <v>OR-GE-BP-2014</v>
      </c>
      <c r="E261" s="6" t="str">
        <f>IF(ISNA(VLOOKUP(A261,'SIR States'!$A:$A,1,FALSE)),"No","Yes")</f>
        <v>Yes</v>
      </c>
      <c r="H261" s="4" t="str">
        <f>VLOOKUP(D261,'25th May'!$D:$D,1,0)</f>
        <v>OR-GE-BP-2014</v>
      </c>
    </row>
    <row r="262">
      <c r="A262" s="5" t="s">
        <v>46</v>
      </c>
      <c r="B262" s="5" t="s">
        <v>18</v>
      </c>
      <c r="C262" s="5">
        <v>2025.0</v>
      </c>
      <c r="D262" s="5" t="str">
        <f t="shared" si="1"/>
        <v>PB-AE-BP-2025</v>
      </c>
      <c r="E262" s="6" t="str">
        <f>IF(ISNA(VLOOKUP(A262,'SIR States'!$A:$A,1,FALSE)),"No","Yes")</f>
        <v>Yes</v>
      </c>
      <c r="H262" s="4" t="str">
        <f>VLOOKUP(D262,'25th May'!$D:$D,1,0)</f>
        <v>PB-AE-BP-2025</v>
      </c>
    </row>
    <row r="263">
      <c r="A263" s="5" t="s">
        <v>46</v>
      </c>
      <c r="B263" s="5" t="s">
        <v>18</v>
      </c>
      <c r="C263" s="5">
        <v>2024.0</v>
      </c>
      <c r="D263" s="5" t="str">
        <f t="shared" si="1"/>
        <v>PB-AE-BP-2024</v>
      </c>
      <c r="E263" s="6" t="str">
        <f>IF(ISNA(VLOOKUP(A263,'SIR States'!$A:$A,1,FALSE)),"No","Yes")</f>
        <v>Yes</v>
      </c>
      <c r="H263" s="4" t="str">
        <f>VLOOKUP(D263,'25th May'!$D:$D,1,0)</f>
        <v>PB-AE-BP-2024</v>
      </c>
    </row>
    <row r="264">
      <c r="A264" s="5" t="s">
        <v>46</v>
      </c>
      <c r="B264" s="5" t="s">
        <v>18</v>
      </c>
      <c r="C264" s="5">
        <v>2019.0</v>
      </c>
      <c r="D264" s="5" t="str">
        <f t="shared" si="1"/>
        <v>PB-AE-BP-2019</v>
      </c>
      <c r="E264" s="6" t="str">
        <f>IF(ISNA(VLOOKUP(A264,'SIR States'!$A:$A,1,FALSE)),"No","Yes")</f>
        <v>Yes</v>
      </c>
      <c r="H264" s="4" t="str">
        <f>VLOOKUP(D264,'25th May'!$D:$D,1,0)</f>
        <v>PB-AE-BP-2019</v>
      </c>
    </row>
    <row r="265">
      <c r="A265" s="5" t="s">
        <v>46</v>
      </c>
      <c r="B265" s="5" t="s">
        <v>18</v>
      </c>
      <c r="C265" s="5">
        <v>2018.0</v>
      </c>
      <c r="D265" s="5" t="str">
        <f t="shared" si="1"/>
        <v>PB-AE-BP-2018</v>
      </c>
      <c r="E265" s="6" t="str">
        <f>IF(ISNA(VLOOKUP(A265,'SIR States'!$A:$A,1,FALSE)),"No","Yes")</f>
        <v>Yes</v>
      </c>
      <c r="H265" s="4" t="str">
        <f>VLOOKUP(D265,'25th May'!$D:$D,1,0)</f>
        <v>PB-AE-BP-2018</v>
      </c>
    </row>
    <row r="266">
      <c r="A266" s="5" t="s">
        <v>46</v>
      </c>
      <c r="B266" s="5" t="s">
        <v>18</v>
      </c>
      <c r="C266" s="5">
        <v>2015.0</v>
      </c>
      <c r="D266" s="5" t="str">
        <f t="shared" si="1"/>
        <v>PB-AE-BP-2015</v>
      </c>
      <c r="E266" s="6" t="str">
        <f>IF(ISNA(VLOOKUP(A266,'SIR States'!$A:$A,1,FALSE)),"No","Yes")</f>
        <v>Yes</v>
      </c>
      <c r="H266" s="4" t="str">
        <f>VLOOKUP(D266,'25th May'!$D:$D,1,0)</f>
        <v>PB-AE-BP-2015</v>
      </c>
    </row>
    <row r="267">
      <c r="A267" s="5" t="s">
        <v>46</v>
      </c>
      <c r="B267" s="5" t="s">
        <v>18</v>
      </c>
      <c r="C267" s="5">
        <v>2014.0</v>
      </c>
      <c r="D267" s="5" t="str">
        <f t="shared" si="1"/>
        <v>PB-AE-BP-2014</v>
      </c>
      <c r="E267" s="6" t="str">
        <f>IF(ISNA(VLOOKUP(A267,'SIR States'!$A:$A,1,FALSE)),"No","Yes")</f>
        <v>Yes</v>
      </c>
      <c r="H267" s="4" t="str">
        <f>VLOOKUP(D267,'25th May'!$D:$D,1,0)</f>
        <v>PB-AE-BP-2014</v>
      </c>
    </row>
    <row r="268">
      <c r="A268" s="5" t="s">
        <v>46</v>
      </c>
      <c r="B268" s="5" t="s">
        <v>18</v>
      </c>
      <c r="C268" s="5">
        <v>2013.0</v>
      </c>
      <c r="D268" s="5" t="str">
        <f t="shared" si="1"/>
        <v>PB-AE-BP-2013</v>
      </c>
      <c r="E268" s="6" t="str">
        <f>IF(ISNA(VLOOKUP(A268,'SIR States'!$A:$A,1,FALSE)),"No","Yes")</f>
        <v>Yes</v>
      </c>
      <c r="H268" s="4" t="str">
        <f>VLOOKUP(D268,'25th May'!$D:$D,1,0)</f>
        <v>PB-AE-BP-2013</v>
      </c>
    </row>
    <row r="269">
      <c r="A269" s="5" t="s">
        <v>46</v>
      </c>
      <c r="B269" s="5" t="s">
        <v>18</v>
      </c>
      <c r="C269" s="5">
        <v>2012.0</v>
      </c>
      <c r="D269" s="5" t="str">
        <f t="shared" si="1"/>
        <v>PB-AE-BP-2012</v>
      </c>
      <c r="E269" s="6" t="str">
        <f>IF(ISNA(VLOOKUP(A269,'SIR States'!$A:$A,1,FALSE)),"No","Yes")</f>
        <v>Yes</v>
      </c>
      <c r="H269" s="4" t="str">
        <f>VLOOKUP(D269,'25th May'!$D:$D,1,0)</f>
        <v>PB-AE-BP-2012</v>
      </c>
    </row>
    <row r="270">
      <c r="A270" s="5" t="s">
        <v>46</v>
      </c>
      <c r="B270" s="5" t="s">
        <v>18</v>
      </c>
      <c r="C270" s="5">
        <v>2009.0</v>
      </c>
      <c r="D270" s="5" t="str">
        <f t="shared" si="1"/>
        <v>PB-AE-BP-2009</v>
      </c>
      <c r="E270" s="6" t="str">
        <f>IF(ISNA(VLOOKUP(A270,'SIR States'!$A:$A,1,FALSE)),"No","Yes")</f>
        <v>Yes</v>
      </c>
      <c r="H270" s="4" t="str">
        <f>VLOOKUP(D270,'25th May'!$D:$D,1,0)</f>
        <v>PB-AE-BP-2009</v>
      </c>
    </row>
    <row r="271">
      <c r="A271" s="5" t="s">
        <v>46</v>
      </c>
      <c r="B271" s="5" t="s">
        <v>18</v>
      </c>
      <c r="C271" s="5">
        <v>2008.0</v>
      </c>
      <c r="D271" s="5" t="str">
        <f t="shared" si="1"/>
        <v>PB-AE-BP-2008</v>
      </c>
      <c r="E271" s="6" t="str">
        <f>IF(ISNA(VLOOKUP(A271,'SIR States'!$A:$A,1,FALSE)),"No","Yes")</f>
        <v>Yes</v>
      </c>
      <c r="H271" s="4" t="str">
        <f>VLOOKUP(D271,'25th May'!$D:$D,1,0)</f>
        <v>PB-AE-BP-2008</v>
      </c>
    </row>
    <row r="272">
      <c r="A272" s="5" t="s">
        <v>46</v>
      </c>
      <c r="B272" s="5" t="s">
        <v>22</v>
      </c>
      <c r="C272" s="5">
        <v>2022.0</v>
      </c>
      <c r="D272" s="5" t="str">
        <f t="shared" si="1"/>
        <v>PB-GE-BP-2022</v>
      </c>
      <c r="E272" s="6" t="str">
        <f>IF(ISNA(VLOOKUP(A272,'SIR States'!$A:$A,1,FALSE)),"No","Yes")</f>
        <v>Yes</v>
      </c>
      <c r="H272" s="4" t="str">
        <f>VLOOKUP(D272,'25th May'!$D:$D,1,0)</f>
        <v>PB-GE-BP-2022</v>
      </c>
    </row>
    <row r="273">
      <c r="A273" s="5" t="s">
        <v>46</v>
      </c>
      <c r="B273" s="5" t="s">
        <v>22</v>
      </c>
      <c r="C273" s="5">
        <v>2017.0</v>
      </c>
      <c r="D273" s="5" t="str">
        <f t="shared" si="1"/>
        <v>PB-GE-BP-2017</v>
      </c>
      <c r="E273" s="6" t="str">
        <f>IF(ISNA(VLOOKUP(A273,'SIR States'!$A:$A,1,FALSE)),"No","Yes")</f>
        <v>Yes</v>
      </c>
      <c r="H273" s="4" t="str">
        <f>VLOOKUP(D273,'25th May'!$D:$D,1,0)</f>
        <v>PB-GE-BP-2017</v>
      </c>
    </row>
    <row r="274">
      <c r="A274" s="5" t="s">
        <v>46</v>
      </c>
      <c r="B274" s="5" t="s">
        <v>22</v>
      </c>
      <c r="C274" s="5">
        <v>2016.0</v>
      </c>
      <c r="D274" s="5" t="str">
        <f t="shared" si="1"/>
        <v>PB-GE-BP-2016</v>
      </c>
      <c r="E274" s="6" t="str">
        <f>IF(ISNA(VLOOKUP(A274,'SIR States'!$A:$A,1,FALSE)),"No","Yes")</f>
        <v>Yes</v>
      </c>
      <c r="H274" s="4" t="str">
        <f>VLOOKUP(D274,'25th May'!$D:$D,1,0)</f>
        <v>PB-GE-BP-2016</v>
      </c>
    </row>
    <row r="275">
      <c r="A275" s="5" t="s">
        <v>47</v>
      </c>
      <c r="B275" s="5" t="s">
        <v>18</v>
      </c>
      <c r="C275" s="5">
        <v>2019.0</v>
      </c>
      <c r="D275" s="5" t="str">
        <f t="shared" si="1"/>
        <v>PY-AE-BP-2019</v>
      </c>
      <c r="E275" s="6" t="str">
        <f>IF(ISNA(VLOOKUP(A275,'SIR States'!$A:$A,1,FALSE)),"No","Yes")</f>
        <v>No</v>
      </c>
      <c r="H275" s="4" t="str">
        <f>VLOOKUP(D275,'25th May'!$D:$D,1,0)</f>
        <v>PY-AE-BP-2019</v>
      </c>
    </row>
    <row r="276">
      <c r="A276" s="5" t="s">
        <v>47</v>
      </c>
      <c r="B276" s="5" t="s">
        <v>18</v>
      </c>
      <c r="C276" s="5">
        <v>2016.0</v>
      </c>
      <c r="D276" s="5" t="str">
        <f t="shared" si="1"/>
        <v>PY-AE-BP-2016</v>
      </c>
      <c r="E276" s="6" t="str">
        <f>IF(ISNA(VLOOKUP(A276,'SIR States'!$A:$A,1,FALSE)),"No","Yes")</f>
        <v>No</v>
      </c>
      <c r="H276" s="4" t="str">
        <f>VLOOKUP(D276,'25th May'!$D:$D,1,0)</f>
        <v>PY-AE-BP-2016</v>
      </c>
    </row>
    <row r="277">
      <c r="A277" s="5" t="s">
        <v>47</v>
      </c>
      <c r="B277" s="5" t="s">
        <v>18</v>
      </c>
      <c r="C277" s="5">
        <v>2011.0</v>
      </c>
      <c r="D277" s="5" t="str">
        <f t="shared" si="1"/>
        <v>PY-AE-BP-2011</v>
      </c>
      <c r="E277" s="6" t="str">
        <f>IF(ISNA(VLOOKUP(A277,'SIR States'!$A:$A,1,FALSE)),"No","Yes")</f>
        <v>No</v>
      </c>
      <c r="H277" s="4" t="str">
        <f>VLOOKUP(D277,'25th May'!$D:$D,1,0)</f>
        <v>PY-AE-BP-2011</v>
      </c>
    </row>
    <row r="278">
      <c r="A278" s="5" t="s">
        <v>36</v>
      </c>
      <c r="B278" s="5" t="s">
        <v>21</v>
      </c>
      <c r="C278" s="5">
        <v>2019.0</v>
      </c>
      <c r="D278" s="5" t="str">
        <f t="shared" si="1"/>
        <v>SK-GE-2019</v>
      </c>
      <c r="E278" s="6" t="str">
        <f>IF(ISNA(VLOOKUP(A278,'SIR States'!$A:$A,1,FALSE)),"No","Yes")</f>
        <v>No</v>
      </c>
      <c r="H278" s="4" t="str">
        <f>VLOOKUP(D278,'25th May'!$D:$D,1,0)</f>
        <v>SK-GE-2019</v>
      </c>
    </row>
    <row r="279">
      <c r="A279" s="5" t="s">
        <v>48</v>
      </c>
      <c r="B279" s="5" t="s">
        <v>18</v>
      </c>
      <c r="C279" s="5">
        <v>2024.0</v>
      </c>
      <c r="D279" s="5" t="str">
        <f t="shared" si="1"/>
        <v>RJ-AE-BP-2024</v>
      </c>
      <c r="E279" s="6" t="str">
        <f>IF(ISNA(VLOOKUP(A279,'SIR States'!$A:$A,1,FALSE)),"No","Yes")</f>
        <v>No</v>
      </c>
      <c r="H279" s="4" t="str">
        <f>VLOOKUP(D279,'25th May'!$D:$D,1,0)</f>
        <v>RJ-AE-BP-2024</v>
      </c>
    </row>
    <row r="280">
      <c r="A280" s="5" t="s">
        <v>48</v>
      </c>
      <c r="B280" s="5" t="s">
        <v>18</v>
      </c>
      <c r="C280" s="5">
        <v>2022.0</v>
      </c>
      <c r="D280" s="5" t="str">
        <f t="shared" si="1"/>
        <v>RJ-AE-BP-2022</v>
      </c>
      <c r="E280" s="6" t="str">
        <f>IF(ISNA(VLOOKUP(A280,'SIR States'!$A:$A,1,FALSE)),"No","Yes")</f>
        <v>No</v>
      </c>
      <c r="H280" s="4" t="str">
        <f>VLOOKUP(D280,'25th May'!$D:$D,1,0)</f>
        <v>RJ-AE-BP-2022</v>
      </c>
    </row>
    <row r="281">
      <c r="A281" s="5" t="s">
        <v>48</v>
      </c>
      <c r="B281" s="5" t="s">
        <v>18</v>
      </c>
      <c r="C281" s="5">
        <v>2021.0</v>
      </c>
      <c r="D281" s="5" t="str">
        <f t="shared" si="1"/>
        <v>RJ-AE-BP-2021</v>
      </c>
      <c r="E281" s="6" t="str">
        <f>IF(ISNA(VLOOKUP(A281,'SIR States'!$A:$A,1,FALSE)),"No","Yes")</f>
        <v>No</v>
      </c>
      <c r="H281" s="4" t="str">
        <f>VLOOKUP(D281,'25th May'!$D:$D,1,0)</f>
        <v>RJ-AE-BP-2021</v>
      </c>
    </row>
    <row r="282">
      <c r="A282" s="5" t="s">
        <v>48</v>
      </c>
      <c r="B282" s="5" t="s">
        <v>18</v>
      </c>
      <c r="C282" s="5">
        <v>2019.0</v>
      </c>
      <c r="D282" s="5" t="str">
        <f t="shared" si="1"/>
        <v>RJ-AE-BP-2019</v>
      </c>
      <c r="E282" s="6" t="str">
        <f>IF(ISNA(VLOOKUP(A282,'SIR States'!$A:$A,1,FALSE)),"No","Yes")</f>
        <v>No</v>
      </c>
      <c r="H282" s="4" t="str">
        <f>VLOOKUP(D282,'25th May'!$D:$D,1,0)</f>
        <v>RJ-AE-BP-2019</v>
      </c>
    </row>
    <row r="283">
      <c r="A283" s="5" t="s">
        <v>48</v>
      </c>
      <c r="B283" s="5" t="s">
        <v>18</v>
      </c>
      <c r="C283" s="5">
        <v>2018.0</v>
      </c>
      <c r="D283" s="5" t="str">
        <f t="shared" si="1"/>
        <v>RJ-AE-BP-2018</v>
      </c>
      <c r="E283" s="6" t="str">
        <f>IF(ISNA(VLOOKUP(A283,'SIR States'!$A:$A,1,FALSE)),"No","Yes")</f>
        <v>No</v>
      </c>
      <c r="H283" s="4" t="str">
        <f>VLOOKUP(D283,'25th May'!$D:$D,1,0)</f>
        <v>RJ-AE-BP-2018</v>
      </c>
    </row>
    <row r="284">
      <c r="A284" s="5" t="s">
        <v>48</v>
      </c>
      <c r="B284" s="5" t="s">
        <v>18</v>
      </c>
      <c r="C284" s="5">
        <v>2017.0</v>
      </c>
      <c r="D284" s="5" t="str">
        <f t="shared" si="1"/>
        <v>RJ-AE-BP-2017</v>
      </c>
      <c r="E284" s="6" t="str">
        <f>IF(ISNA(VLOOKUP(A284,'SIR States'!$A:$A,1,FALSE)),"No","Yes")</f>
        <v>No</v>
      </c>
      <c r="H284" s="4" t="str">
        <f>VLOOKUP(D284,'25th May'!$D:$D,1,0)</f>
        <v>RJ-AE-BP-2017</v>
      </c>
    </row>
    <row r="285">
      <c r="A285" s="5" t="s">
        <v>48</v>
      </c>
      <c r="B285" s="5" t="s">
        <v>18</v>
      </c>
      <c r="C285" s="5">
        <v>2014.0</v>
      </c>
      <c r="D285" s="5" t="str">
        <f t="shared" si="1"/>
        <v>RJ-AE-BP-2014</v>
      </c>
      <c r="E285" s="6" t="str">
        <f>IF(ISNA(VLOOKUP(A285,'SIR States'!$A:$A,1,FALSE)),"No","Yes")</f>
        <v>No</v>
      </c>
      <c r="H285" s="4" t="str">
        <f>VLOOKUP(D285,'25th May'!$D:$D,1,0)</f>
        <v>RJ-AE-BP-2014</v>
      </c>
    </row>
    <row r="286">
      <c r="A286" s="5" t="s">
        <v>48</v>
      </c>
      <c r="B286" s="5" t="s">
        <v>18</v>
      </c>
      <c r="C286" s="5">
        <v>2009.0</v>
      </c>
      <c r="D286" s="5" t="str">
        <f t="shared" si="1"/>
        <v>RJ-AE-BP-2009</v>
      </c>
      <c r="E286" s="6" t="str">
        <f>IF(ISNA(VLOOKUP(A286,'SIR States'!$A:$A,1,FALSE)),"No","Yes")</f>
        <v>No</v>
      </c>
      <c r="H286" s="4" t="str">
        <f>VLOOKUP(D286,'25th May'!$D:$D,1,0)</f>
        <v>RJ-AE-BP-2009</v>
      </c>
    </row>
    <row r="287">
      <c r="A287" s="5" t="s">
        <v>48</v>
      </c>
      <c r="B287" s="5" t="s">
        <v>22</v>
      </c>
      <c r="C287" s="5">
        <v>2018.0</v>
      </c>
      <c r="D287" s="5" t="str">
        <f t="shared" si="1"/>
        <v>RJ-GE-BP-2018</v>
      </c>
      <c r="E287" s="6" t="str">
        <f>IF(ISNA(VLOOKUP(A287,'SIR States'!$A:$A,1,FALSE)),"No","Yes")</f>
        <v>No</v>
      </c>
      <c r="H287" s="4" t="str">
        <f>VLOOKUP(D287,'25th May'!$D:$D,1,0)</f>
        <v>RJ-GE-BP-2018</v>
      </c>
    </row>
    <row r="288">
      <c r="A288" s="5" t="s">
        <v>19</v>
      </c>
      <c r="B288" s="5" t="s">
        <v>21</v>
      </c>
      <c r="C288" s="5">
        <v>2019.0</v>
      </c>
      <c r="D288" s="5" t="str">
        <f t="shared" si="1"/>
        <v>TR-GE-2019</v>
      </c>
      <c r="E288" s="6" t="str">
        <f>IF(ISNA(VLOOKUP(A288,'SIR States'!$A:$A,1,FALSE)),"No","Yes")</f>
        <v>No</v>
      </c>
      <c r="H288" s="4" t="str">
        <f>VLOOKUP(D288,'25th May'!$D:$D,1,0)</f>
        <v>TR-GE-2019</v>
      </c>
    </row>
    <row r="289">
      <c r="A289" s="5" t="s">
        <v>38</v>
      </c>
      <c r="B289" s="5" t="s">
        <v>21</v>
      </c>
      <c r="C289" s="5">
        <v>2019.0</v>
      </c>
      <c r="D289" s="5" t="str">
        <f t="shared" si="1"/>
        <v>TS-GE-2019</v>
      </c>
      <c r="E289" s="6" t="str">
        <f>IF(ISNA(VLOOKUP(A289,'SIR States'!$A:$A,1,FALSE)),"No","Yes")</f>
        <v>No</v>
      </c>
      <c r="H289" s="4" t="str">
        <f>VLOOKUP(D289,'25th May'!$D:$D,1,0)</f>
        <v>TS-GE-2019</v>
      </c>
    </row>
    <row r="290">
      <c r="A290" s="5" t="s">
        <v>27</v>
      </c>
      <c r="B290" s="5" t="s">
        <v>13</v>
      </c>
      <c r="C290" s="5">
        <v>2022.0</v>
      </c>
      <c r="D290" s="5" t="str">
        <f t="shared" si="1"/>
        <v>GJ-AE-2022</v>
      </c>
      <c r="E290" s="6" t="str">
        <f>IF(ISNA(VLOOKUP(A290,'SIR States'!$A:$A,1,FALSE)),"No","Yes")</f>
        <v>No</v>
      </c>
      <c r="H290" s="4" t="str">
        <f>VLOOKUP(D290,'25th May'!$D:$D,1,0)</f>
        <v>GJ-AE-2022</v>
      </c>
    </row>
    <row r="291">
      <c r="A291" s="5" t="s">
        <v>33</v>
      </c>
      <c r="B291" s="5" t="s">
        <v>13</v>
      </c>
      <c r="C291" s="5">
        <v>2023.0</v>
      </c>
      <c r="D291" s="5" t="str">
        <f t="shared" si="1"/>
        <v>ML-AE-2023</v>
      </c>
      <c r="E291" s="6" t="str">
        <f>IF(ISNA(VLOOKUP(A291,'SIR States'!$A:$A,1,FALSE)),"No","Yes")</f>
        <v>No</v>
      </c>
      <c r="H291" s="4" t="str">
        <f>VLOOKUP(D291,'25th May'!$D:$D,1,0)</f>
        <v>ML-AE-2023</v>
      </c>
    </row>
    <row r="292">
      <c r="A292" s="5" t="s">
        <v>36</v>
      </c>
      <c r="B292" s="5" t="s">
        <v>18</v>
      </c>
      <c r="C292" s="5">
        <v>2024.0</v>
      </c>
      <c r="D292" s="5" t="str">
        <f t="shared" si="1"/>
        <v>SK-AE-BP-2024</v>
      </c>
      <c r="E292" s="6" t="str">
        <f>IF(ISNA(VLOOKUP(A292,'SIR States'!$A:$A,1,FALSE)),"No","Yes")</f>
        <v>No</v>
      </c>
      <c r="H292" s="4" t="str">
        <f>VLOOKUP(D292,'25th May'!$D:$D,1,0)</f>
        <v>SK-AE-BP-2024</v>
      </c>
    </row>
    <row r="293">
      <c r="A293" s="5" t="s">
        <v>36</v>
      </c>
      <c r="B293" s="5" t="s">
        <v>18</v>
      </c>
      <c r="C293" s="5">
        <v>2019.0</v>
      </c>
      <c r="D293" s="5" t="str">
        <f t="shared" si="1"/>
        <v>SK-AE-BP-2019</v>
      </c>
      <c r="E293" s="6" t="str">
        <f>IF(ISNA(VLOOKUP(A293,'SIR States'!$A:$A,1,FALSE)),"No","Yes")</f>
        <v>No</v>
      </c>
      <c r="H293" s="4" t="str">
        <f>VLOOKUP(D293,'25th May'!$D:$D,1,0)</f>
        <v>SK-AE-BP-2019</v>
      </c>
    </row>
    <row r="294">
      <c r="A294" s="5" t="s">
        <v>36</v>
      </c>
      <c r="B294" s="5" t="s">
        <v>18</v>
      </c>
      <c r="C294" s="5">
        <v>2017.0</v>
      </c>
      <c r="D294" s="5" t="str">
        <f t="shared" si="1"/>
        <v>SK-AE-BP-2017</v>
      </c>
      <c r="E294" s="6" t="str">
        <f>IF(ISNA(VLOOKUP(A294,'SIR States'!$A:$A,1,FALSE)),"No","Yes")</f>
        <v>No</v>
      </c>
      <c r="H294" s="4" t="str">
        <f>VLOOKUP(D294,'25th May'!$D:$D,1,0)</f>
        <v>SK-AE-BP-2017</v>
      </c>
    </row>
    <row r="295">
      <c r="A295" s="5" t="s">
        <v>36</v>
      </c>
      <c r="B295" s="5" t="s">
        <v>18</v>
      </c>
      <c r="C295" s="5">
        <v>2014.0</v>
      </c>
      <c r="D295" s="5" t="str">
        <f t="shared" si="1"/>
        <v>SK-AE-BP-2014</v>
      </c>
      <c r="E295" s="6" t="str">
        <f>IF(ISNA(VLOOKUP(A295,'SIR States'!$A:$A,1,FALSE)),"No","Yes")</f>
        <v>No</v>
      </c>
      <c r="H295" s="4" t="str">
        <f>VLOOKUP(D295,'25th May'!$D:$D,1,0)</f>
        <v>SK-AE-BP-2014</v>
      </c>
    </row>
    <row r="296">
      <c r="A296" s="5" t="s">
        <v>15</v>
      </c>
      <c r="B296" s="5" t="s">
        <v>13</v>
      </c>
      <c r="C296" s="5">
        <v>2023.0</v>
      </c>
      <c r="D296" s="5" t="str">
        <f t="shared" si="1"/>
        <v>MP-AE-2023</v>
      </c>
      <c r="E296" s="6" t="str">
        <f>IF(ISNA(VLOOKUP(A296,'SIR States'!$A:$A,1,FALSE)),"No","Yes")</f>
        <v>No</v>
      </c>
      <c r="H296" s="4" t="str">
        <f>VLOOKUP(D296,'25th May'!$D:$D,1,0)</f>
        <v>MP-AE-2023</v>
      </c>
    </row>
    <row r="297">
      <c r="A297" s="5" t="s">
        <v>16</v>
      </c>
      <c r="B297" s="5" t="s">
        <v>13</v>
      </c>
      <c r="C297" s="5">
        <v>2023.0</v>
      </c>
      <c r="D297" s="5" t="str">
        <f t="shared" si="1"/>
        <v>MZ-AE-2023</v>
      </c>
      <c r="E297" s="6" t="str">
        <f>IF(ISNA(VLOOKUP(A297,'SIR States'!$A:$A,1,FALSE)),"No","Yes")</f>
        <v>No</v>
      </c>
      <c r="H297" s="4" t="str">
        <f>VLOOKUP(D297,'25th May'!$D:$D,1,0)</f>
        <v>MZ-AE-2023</v>
      </c>
    </row>
    <row r="298">
      <c r="A298" s="5" t="s">
        <v>35</v>
      </c>
      <c r="B298" s="5" t="s">
        <v>13</v>
      </c>
      <c r="C298" s="5">
        <v>2023.0</v>
      </c>
      <c r="D298" s="5" t="str">
        <f t="shared" si="1"/>
        <v>NL-AE-2023</v>
      </c>
      <c r="E298" s="6" t="str">
        <f>IF(ISNA(VLOOKUP(A298,'SIR States'!$A:$A,1,FALSE)),"No","Yes")</f>
        <v>No</v>
      </c>
      <c r="H298" s="4" t="str">
        <f>VLOOKUP(D298,'25th May'!$D:$D,1,0)</f>
        <v>NL-AE-2023</v>
      </c>
    </row>
    <row r="299">
      <c r="A299" s="5" t="s">
        <v>19</v>
      </c>
      <c r="B299" s="5" t="s">
        <v>13</v>
      </c>
      <c r="C299" s="5">
        <v>2023.0</v>
      </c>
      <c r="D299" s="5" t="str">
        <f t="shared" si="1"/>
        <v>TR-AE-2023</v>
      </c>
      <c r="E299" s="6" t="str">
        <f>IF(ISNA(VLOOKUP(A299,'SIR States'!$A:$A,1,FALSE)),"No","Yes")</f>
        <v>No</v>
      </c>
      <c r="H299" s="4" t="str">
        <f>VLOOKUP(D299,'25th May'!$D:$D,1,0)</f>
        <v>TR-AE-2023</v>
      </c>
    </row>
    <row r="300">
      <c r="A300" s="5" t="s">
        <v>49</v>
      </c>
      <c r="B300" s="5" t="s">
        <v>18</v>
      </c>
      <c r="C300" s="5">
        <v>2025.0</v>
      </c>
      <c r="D300" s="5" t="str">
        <f t="shared" si="1"/>
        <v>TN-AE-BP-2025</v>
      </c>
      <c r="E300" s="6" t="str">
        <f>IF(ISNA(VLOOKUP(A300,'SIR States'!$A:$A,1,FALSE)),"No","Yes")</f>
        <v>No</v>
      </c>
      <c r="H300" s="4" t="str">
        <f>VLOOKUP(D300,'25th May'!$D:$D,1,0)</f>
        <v>TN-AE-BP-2025</v>
      </c>
    </row>
    <row r="301">
      <c r="A301" s="5" t="s">
        <v>49</v>
      </c>
      <c r="B301" s="5" t="s">
        <v>18</v>
      </c>
      <c r="C301" s="5">
        <v>2024.0</v>
      </c>
      <c r="D301" s="5" t="str">
        <f t="shared" si="1"/>
        <v>TN-AE-BP-2024</v>
      </c>
      <c r="E301" s="6" t="str">
        <f>IF(ISNA(VLOOKUP(A301,'SIR States'!$A:$A,1,FALSE)),"No","Yes")</f>
        <v>No</v>
      </c>
      <c r="H301" s="4" t="str">
        <f>VLOOKUP(D301,'25th May'!$D:$D,1,0)</f>
        <v>TN-AE-BP-2024</v>
      </c>
    </row>
    <row r="302">
      <c r="A302" s="5" t="s">
        <v>49</v>
      </c>
      <c r="B302" s="5" t="s">
        <v>18</v>
      </c>
      <c r="C302" s="5">
        <v>2023.0</v>
      </c>
      <c r="D302" s="5" t="str">
        <f t="shared" si="1"/>
        <v>TN-AE-BP-2023</v>
      </c>
      <c r="E302" s="6" t="str">
        <f>IF(ISNA(VLOOKUP(A302,'SIR States'!$A:$A,1,FALSE)),"No","Yes")</f>
        <v>No</v>
      </c>
      <c r="H302" s="4" t="str">
        <f>VLOOKUP(D302,'25th May'!$D:$D,1,0)</f>
        <v>TN-AE-BP-2023</v>
      </c>
    </row>
    <row r="303">
      <c r="A303" s="5" t="s">
        <v>49</v>
      </c>
      <c r="B303" s="5" t="s">
        <v>18</v>
      </c>
      <c r="C303" s="5">
        <v>2019.0</v>
      </c>
      <c r="D303" s="5" t="str">
        <f t="shared" si="1"/>
        <v>TN-AE-BP-2019</v>
      </c>
      <c r="E303" s="6" t="str">
        <f>IF(ISNA(VLOOKUP(A303,'SIR States'!$A:$A,1,FALSE)),"No","Yes")</f>
        <v>No</v>
      </c>
      <c r="H303" s="4" t="str">
        <f>VLOOKUP(D303,'25th May'!$D:$D,1,0)</f>
        <v>TN-AE-BP-2019</v>
      </c>
    </row>
    <row r="304">
      <c r="A304" s="5" t="s">
        <v>49</v>
      </c>
      <c r="B304" s="5" t="s">
        <v>18</v>
      </c>
      <c r="C304" s="5">
        <v>2017.0</v>
      </c>
      <c r="D304" s="5" t="str">
        <f t="shared" si="1"/>
        <v>TN-AE-BP-2017</v>
      </c>
      <c r="E304" s="6" t="str">
        <f>IF(ISNA(VLOOKUP(A304,'SIR States'!$A:$A,1,FALSE)),"No","Yes")</f>
        <v>No</v>
      </c>
      <c r="H304" s="4" t="str">
        <f>VLOOKUP(D304,'25th May'!$D:$D,1,0)</f>
        <v>TN-AE-BP-2017</v>
      </c>
    </row>
    <row r="305">
      <c r="A305" s="5" t="s">
        <v>49</v>
      </c>
      <c r="B305" s="5" t="s">
        <v>18</v>
      </c>
      <c r="C305" s="5">
        <v>2016.0</v>
      </c>
      <c r="D305" s="5" t="str">
        <f t="shared" si="1"/>
        <v>TN-AE-BP-2016</v>
      </c>
      <c r="E305" s="6" t="str">
        <f>IF(ISNA(VLOOKUP(A305,'SIR States'!$A:$A,1,FALSE)),"No","Yes")</f>
        <v>No</v>
      </c>
      <c r="H305" s="4" t="str">
        <f>VLOOKUP(D305,'25th May'!$D:$D,1,0)</f>
        <v>TN-AE-BP-2016</v>
      </c>
    </row>
    <row r="306">
      <c r="A306" s="5" t="s">
        <v>49</v>
      </c>
      <c r="B306" s="5" t="s">
        <v>18</v>
      </c>
      <c r="C306" s="5">
        <v>2015.0</v>
      </c>
      <c r="D306" s="5" t="str">
        <f t="shared" si="1"/>
        <v>TN-AE-BP-2015</v>
      </c>
      <c r="E306" s="6" t="str">
        <f>IF(ISNA(VLOOKUP(A306,'SIR States'!$A:$A,1,FALSE)),"No","Yes")</f>
        <v>No</v>
      </c>
      <c r="H306" s="4" t="str">
        <f>VLOOKUP(D306,'25th May'!$D:$D,1,0)</f>
        <v>TN-AE-BP-2015</v>
      </c>
    </row>
    <row r="307">
      <c r="A307" s="5" t="s">
        <v>49</v>
      </c>
      <c r="B307" s="5" t="s">
        <v>18</v>
      </c>
      <c r="C307" s="5">
        <v>2014.0</v>
      </c>
      <c r="D307" s="5" t="str">
        <f t="shared" si="1"/>
        <v>TN-AE-BP-2014</v>
      </c>
      <c r="E307" s="6" t="str">
        <f>IF(ISNA(VLOOKUP(A307,'SIR States'!$A:$A,1,FALSE)),"No","Yes")</f>
        <v>No</v>
      </c>
      <c r="H307" s="4" t="str">
        <f>VLOOKUP(D307,'25th May'!$D:$D,1,0)</f>
        <v>TN-AE-BP-2014</v>
      </c>
    </row>
    <row r="308">
      <c r="A308" s="5" t="s">
        <v>49</v>
      </c>
      <c r="B308" s="5" t="s">
        <v>18</v>
      </c>
      <c r="C308" s="5">
        <v>2013.0</v>
      </c>
      <c r="D308" s="5" t="str">
        <f t="shared" si="1"/>
        <v>TN-AE-BP-2013</v>
      </c>
      <c r="E308" s="6" t="str">
        <f>IF(ISNA(VLOOKUP(A308,'SIR States'!$A:$A,1,FALSE)),"No","Yes")</f>
        <v>No</v>
      </c>
      <c r="H308" s="4" t="str">
        <f>VLOOKUP(D308,'25th May'!$D:$D,1,0)</f>
        <v>TN-AE-BP-2013</v>
      </c>
    </row>
    <row r="309">
      <c r="A309" s="5" t="s">
        <v>49</v>
      </c>
      <c r="B309" s="5" t="s">
        <v>18</v>
      </c>
      <c r="C309" s="5">
        <v>2012.0</v>
      </c>
      <c r="D309" s="5" t="str">
        <f t="shared" si="1"/>
        <v>TN-AE-BP-2012</v>
      </c>
      <c r="E309" s="6" t="str">
        <f>IF(ISNA(VLOOKUP(A309,'SIR States'!$A:$A,1,FALSE)),"No","Yes")</f>
        <v>No</v>
      </c>
      <c r="H309" s="4" t="str">
        <f>VLOOKUP(D309,'25th May'!$D:$D,1,0)</f>
        <v>TN-AE-BP-2012</v>
      </c>
    </row>
    <row r="310">
      <c r="A310" s="5" t="s">
        <v>49</v>
      </c>
      <c r="B310" s="5" t="s">
        <v>18</v>
      </c>
      <c r="C310" s="5">
        <v>2011.0</v>
      </c>
      <c r="D310" s="5" t="str">
        <f t="shared" si="1"/>
        <v>TN-AE-BP-2011</v>
      </c>
      <c r="E310" s="6" t="str">
        <f>IF(ISNA(VLOOKUP(A310,'SIR States'!$A:$A,1,FALSE)),"No","Yes")</f>
        <v>No</v>
      </c>
      <c r="H310" s="4" t="str">
        <f>VLOOKUP(D310,'25th May'!$D:$D,1,0)</f>
        <v>TN-AE-BP-2011</v>
      </c>
    </row>
    <row r="311">
      <c r="A311" s="5" t="s">
        <v>49</v>
      </c>
      <c r="B311" s="5" t="s">
        <v>18</v>
      </c>
      <c r="C311" s="5">
        <v>2009.0</v>
      </c>
      <c r="D311" s="5" t="str">
        <f t="shared" si="1"/>
        <v>TN-AE-BP-2009</v>
      </c>
      <c r="E311" s="6" t="str">
        <f>IF(ISNA(VLOOKUP(A311,'SIR States'!$A:$A,1,FALSE)),"No","Yes")</f>
        <v>No</v>
      </c>
      <c r="H311" s="4" t="str">
        <f>VLOOKUP(D311,'25th May'!$D:$D,1,0)</f>
        <v>TN-AE-BP-2009</v>
      </c>
    </row>
    <row r="312">
      <c r="A312" s="5" t="s">
        <v>49</v>
      </c>
      <c r="B312" s="5" t="s">
        <v>22</v>
      </c>
      <c r="C312" s="5">
        <v>2021.0</v>
      </c>
      <c r="D312" s="5" t="str">
        <f t="shared" si="1"/>
        <v>TN-GE-BP-2021</v>
      </c>
      <c r="E312" s="6" t="str">
        <f>IF(ISNA(VLOOKUP(A312,'SIR States'!$A:$A,1,FALSE)),"No","Yes")</f>
        <v>No</v>
      </c>
      <c r="H312" s="4" t="str">
        <f>VLOOKUP(D312,'25th May'!$D:$D,1,0)</f>
        <v>TN-GE-BP-2021</v>
      </c>
    </row>
    <row r="313">
      <c r="A313" s="5" t="s">
        <v>38</v>
      </c>
      <c r="B313" s="5" t="s">
        <v>13</v>
      </c>
      <c r="C313" s="5">
        <v>2023.0</v>
      </c>
      <c r="D313" s="5" t="str">
        <f t="shared" si="1"/>
        <v>TS-AE-2023</v>
      </c>
      <c r="E313" s="6" t="str">
        <f>IF(ISNA(VLOOKUP(A313,'SIR States'!$A:$A,1,FALSE)),"No","Yes")</f>
        <v>No</v>
      </c>
      <c r="H313" s="4" t="str">
        <f>VLOOKUP(D313,'25th May'!$D:$D,1,0)</f>
        <v>TS-AE-2023</v>
      </c>
    </row>
    <row r="314">
      <c r="A314" s="5" t="s">
        <v>23</v>
      </c>
      <c r="B314" s="5" t="s">
        <v>13</v>
      </c>
      <c r="C314" s="5">
        <v>2024.0</v>
      </c>
      <c r="D314" s="5" t="str">
        <f t="shared" si="1"/>
        <v>AR-AE-2024</v>
      </c>
      <c r="E314" s="6" t="str">
        <f>IF(ISNA(VLOOKUP(A314,'SIR States'!$A:$A,1,FALSE)),"No","Yes")</f>
        <v>No</v>
      </c>
      <c r="H314" s="4" t="str">
        <f>VLOOKUP(D314,'25th May'!$D:$D,1,0)</f>
        <v>AR-AE-2024</v>
      </c>
    </row>
    <row r="315">
      <c r="A315" s="5" t="s">
        <v>23</v>
      </c>
      <c r="B315" s="5" t="s">
        <v>21</v>
      </c>
      <c r="C315" s="5">
        <v>2024.0</v>
      </c>
      <c r="D315" s="5" t="str">
        <f t="shared" si="1"/>
        <v>AR-GE-2024</v>
      </c>
      <c r="E315" s="6" t="str">
        <f>IF(ISNA(VLOOKUP(A315,'SIR States'!$A:$A,1,FALSE)),"No","Yes")</f>
        <v>No</v>
      </c>
      <c r="H315" s="4" t="str">
        <f>VLOOKUP(D315,'25th May'!$D:$D,1,0)</f>
        <v>AR-GE-2024</v>
      </c>
    </row>
    <row r="316">
      <c r="A316" s="5" t="s">
        <v>24</v>
      </c>
      <c r="B316" s="5" t="s">
        <v>21</v>
      </c>
      <c r="C316" s="5">
        <v>2024.0</v>
      </c>
      <c r="D316" s="5" t="str">
        <f t="shared" si="1"/>
        <v>DD-GE-2024</v>
      </c>
      <c r="E316" s="6" t="str">
        <f>IF(ISNA(VLOOKUP(A316,'SIR States'!$A:$A,1,FALSE)),"No","Yes")</f>
        <v>No</v>
      </c>
      <c r="H316" s="4" t="str">
        <f>VLOOKUP(D316,'25th May'!$D:$D,1,0)</f>
        <v>DD-GE-2024</v>
      </c>
    </row>
    <row r="317">
      <c r="A317" s="5" t="s">
        <v>19</v>
      </c>
      <c r="B317" s="5" t="s">
        <v>18</v>
      </c>
      <c r="C317" s="5">
        <v>2024.0</v>
      </c>
      <c r="D317" s="5" t="str">
        <f t="shared" si="1"/>
        <v>TR-AE-BP-2024</v>
      </c>
      <c r="E317" s="6" t="str">
        <f>IF(ISNA(VLOOKUP(A317,'SIR States'!$A:$A,1,FALSE)),"No","Yes")</f>
        <v>No</v>
      </c>
      <c r="H317" s="4" t="str">
        <f>VLOOKUP(D317,'25th May'!$D:$D,1,0)</f>
        <v>TR-AE-BP-2024</v>
      </c>
    </row>
    <row r="318">
      <c r="A318" s="5" t="s">
        <v>19</v>
      </c>
      <c r="B318" s="5" t="s">
        <v>18</v>
      </c>
      <c r="C318" s="5">
        <v>2023.0</v>
      </c>
      <c r="D318" s="5" t="str">
        <f t="shared" si="1"/>
        <v>TR-AE-BP-2023</v>
      </c>
      <c r="E318" s="6" t="str">
        <f>IF(ISNA(VLOOKUP(A318,'SIR States'!$A:$A,1,FALSE)),"No","Yes")</f>
        <v>No</v>
      </c>
      <c r="H318" s="4" t="str">
        <f>VLOOKUP(D318,'25th May'!$D:$D,1,0)</f>
        <v>TR-AE-BP-2023</v>
      </c>
    </row>
    <row r="319">
      <c r="A319" s="5" t="s">
        <v>19</v>
      </c>
      <c r="B319" s="5" t="s">
        <v>18</v>
      </c>
      <c r="C319" s="5">
        <v>2022.0</v>
      </c>
      <c r="D319" s="5" t="str">
        <f t="shared" si="1"/>
        <v>TR-AE-BP-2022</v>
      </c>
      <c r="E319" s="6" t="str">
        <f>IF(ISNA(VLOOKUP(A319,'SIR States'!$A:$A,1,FALSE)),"No","Yes")</f>
        <v>No</v>
      </c>
      <c r="H319" s="4" t="str">
        <f>VLOOKUP(D319,'25th May'!$D:$D,1,0)</f>
        <v>TR-AE-BP-2022</v>
      </c>
    </row>
    <row r="320">
      <c r="A320" s="5" t="s">
        <v>19</v>
      </c>
      <c r="B320" s="5" t="s">
        <v>18</v>
      </c>
      <c r="C320" s="5">
        <v>2019.0</v>
      </c>
      <c r="D320" s="5" t="str">
        <f t="shared" si="1"/>
        <v>TR-AE-BP-2019</v>
      </c>
      <c r="E320" s="6" t="str">
        <f>IF(ISNA(VLOOKUP(A320,'SIR States'!$A:$A,1,FALSE)),"No","Yes")</f>
        <v>No</v>
      </c>
      <c r="H320" s="4" t="str">
        <f>VLOOKUP(D320,'25th May'!$D:$D,1,0)</f>
        <v>TR-AE-BP-2019</v>
      </c>
    </row>
    <row r="321">
      <c r="A321" s="5" t="s">
        <v>19</v>
      </c>
      <c r="B321" s="5" t="s">
        <v>18</v>
      </c>
      <c r="C321" s="5">
        <v>2016.0</v>
      </c>
      <c r="D321" s="5" t="str">
        <f t="shared" si="1"/>
        <v>TR-AE-BP-2016</v>
      </c>
      <c r="E321" s="6" t="str">
        <f>IF(ISNA(VLOOKUP(A321,'SIR States'!$A:$A,1,FALSE)),"No","Yes")</f>
        <v>No</v>
      </c>
      <c r="H321" s="4" t="str">
        <f>VLOOKUP(D321,'25th May'!$D:$D,1,0)</f>
        <v>TR-AE-BP-2016</v>
      </c>
    </row>
    <row r="322">
      <c r="A322" s="5" t="s">
        <v>19</v>
      </c>
      <c r="B322" s="5" t="s">
        <v>18</v>
      </c>
      <c r="C322" s="5">
        <v>2015.0</v>
      </c>
      <c r="D322" s="5" t="str">
        <f t="shared" si="1"/>
        <v>TR-AE-BP-2015</v>
      </c>
      <c r="E322" s="6" t="str">
        <f>IF(ISNA(VLOOKUP(A322,'SIR States'!$A:$A,1,FALSE)),"No","Yes")</f>
        <v>No</v>
      </c>
      <c r="H322" s="4" t="str">
        <f>VLOOKUP(D322,'25th May'!$D:$D,1,0)</f>
        <v>TR-AE-BP-2015</v>
      </c>
    </row>
    <row r="323">
      <c r="A323" s="5" t="s">
        <v>19</v>
      </c>
      <c r="B323" s="5" t="s">
        <v>18</v>
      </c>
      <c r="C323" s="5">
        <v>2014.0</v>
      </c>
      <c r="D323" s="5" t="str">
        <f t="shared" si="1"/>
        <v>TR-AE-BP-2014</v>
      </c>
      <c r="E323" s="6" t="str">
        <f>IF(ISNA(VLOOKUP(A323,'SIR States'!$A:$A,1,FALSE)),"No","Yes")</f>
        <v>No</v>
      </c>
      <c r="H323" s="4" t="str">
        <f>VLOOKUP(D323,'25th May'!$D:$D,1,0)</f>
        <v>TR-AE-BP-2014</v>
      </c>
    </row>
    <row r="324">
      <c r="A324" s="5" t="s">
        <v>19</v>
      </c>
      <c r="B324" s="5" t="s">
        <v>18</v>
      </c>
      <c r="C324" s="5">
        <v>2012.0</v>
      </c>
      <c r="D324" s="5" t="str">
        <f t="shared" si="1"/>
        <v>TR-AE-BP-2012</v>
      </c>
      <c r="E324" s="6" t="str">
        <f>IF(ISNA(VLOOKUP(A324,'SIR States'!$A:$A,1,FALSE)),"No","Yes")</f>
        <v>No</v>
      </c>
      <c r="H324" s="4" t="str">
        <f>VLOOKUP(D324,'25th May'!$D:$D,1,0)</f>
        <v>TR-AE-BP-2012</v>
      </c>
    </row>
    <row r="325">
      <c r="A325" s="5" t="s">
        <v>12</v>
      </c>
      <c r="B325" s="5" t="s">
        <v>21</v>
      </c>
      <c r="C325" s="5">
        <v>2024.0</v>
      </c>
      <c r="D325" s="5" t="str">
        <f t="shared" si="1"/>
        <v>DL-GE-2024</v>
      </c>
      <c r="E325" s="6" t="str">
        <f>IF(ISNA(VLOOKUP(A325,'SIR States'!$A:$A,1,FALSE)),"No","Yes")</f>
        <v>No</v>
      </c>
      <c r="H325" s="4" t="str">
        <f>VLOOKUP(D325,'25th May'!$D:$D,1,0)</f>
        <v>DL-GE-2024</v>
      </c>
    </row>
    <row r="326">
      <c r="A326" s="5" t="s">
        <v>25</v>
      </c>
      <c r="B326" s="5" t="s">
        <v>21</v>
      </c>
      <c r="C326" s="5">
        <v>2024.0</v>
      </c>
      <c r="D326" s="5" t="str">
        <f t="shared" si="1"/>
        <v>DN-GE-2024</v>
      </c>
      <c r="E326" s="6" t="str">
        <f>IF(ISNA(VLOOKUP(A326,'SIR States'!$A:$A,1,FALSE)),"No","Yes")</f>
        <v>No</v>
      </c>
      <c r="H326" s="4" t="str">
        <f>VLOOKUP(D326,'25th May'!$D:$D,1,0)</f>
        <v>DN-GE-2024</v>
      </c>
    </row>
    <row r="327">
      <c r="A327" s="5" t="s">
        <v>27</v>
      </c>
      <c r="B327" s="5" t="s">
        <v>21</v>
      </c>
      <c r="C327" s="5">
        <v>2024.0</v>
      </c>
      <c r="D327" s="5" t="str">
        <f t="shared" si="1"/>
        <v>GJ-GE-2024</v>
      </c>
      <c r="E327" s="6" t="str">
        <f>IF(ISNA(VLOOKUP(A327,'SIR States'!$A:$A,1,FALSE)),"No","Yes")</f>
        <v>No</v>
      </c>
      <c r="H327" s="4" t="str">
        <f>VLOOKUP(D327,'25th May'!$D:$D,1,0)</f>
        <v>GJ-GE-2024</v>
      </c>
    </row>
    <row r="328">
      <c r="A328" s="5" t="s">
        <v>33</v>
      </c>
      <c r="B328" s="5" t="s">
        <v>21</v>
      </c>
      <c r="C328" s="5">
        <v>2024.0</v>
      </c>
      <c r="D328" s="5" t="str">
        <f t="shared" si="1"/>
        <v>ML-GE-2024</v>
      </c>
      <c r="E328" s="6" t="str">
        <f>IF(ISNA(VLOOKUP(A328,'SIR States'!$A:$A,1,FALSE)),"No","Yes")</f>
        <v>No</v>
      </c>
      <c r="H328" s="4" t="str">
        <f>VLOOKUP(D328,'25th May'!$D:$D,1,0)</f>
        <v>ML-GE-2024</v>
      </c>
    </row>
    <row r="329">
      <c r="A329" s="5" t="s">
        <v>16</v>
      </c>
      <c r="B329" s="5" t="s">
        <v>21</v>
      </c>
      <c r="C329" s="5">
        <v>2024.0</v>
      </c>
      <c r="D329" s="5" t="str">
        <f t="shared" si="1"/>
        <v>MZ-GE-2024</v>
      </c>
      <c r="E329" s="6" t="str">
        <f>IF(ISNA(VLOOKUP(A329,'SIR States'!$A:$A,1,FALSE)),"No","Yes")</f>
        <v>No</v>
      </c>
      <c r="H329" s="4" t="str">
        <f>VLOOKUP(D329,'25th May'!$D:$D,1,0)</f>
        <v>MZ-GE-2024</v>
      </c>
    </row>
    <row r="330">
      <c r="A330" s="5" t="s">
        <v>35</v>
      </c>
      <c r="B330" s="5" t="s">
        <v>21</v>
      </c>
      <c r="C330" s="5">
        <v>2024.0</v>
      </c>
      <c r="D330" s="5" t="str">
        <f t="shared" si="1"/>
        <v>NL-GE-2024</v>
      </c>
      <c r="E330" s="6" t="str">
        <f>IF(ISNA(VLOOKUP(A330,'SIR States'!$A:$A,1,FALSE)),"No","Yes")</f>
        <v>No</v>
      </c>
      <c r="H330" s="4" t="str">
        <f>VLOOKUP(D330,'25th May'!$D:$D,1,0)</f>
        <v>NL-GE-2024</v>
      </c>
    </row>
    <row r="331">
      <c r="A331" s="5" t="s">
        <v>38</v>
      </c>
      <c r="B331" s="5" t="s">
        <v>18</v>
      </c>
      <c r="C331" s="5">
        <v>2024.0</v>
      </c>
      <c r="D331" s="5" t="str">
        <f t="shared" si="1"/>
        <v>TS-AE-BP-2024</v>
      </c>
      <c r="E331" s="6" t="str">
        <f>IF(ISNA(VLOOKUP(A331,'SIR States'!$A:$A,1,FALSE)),"No","Yes")</f>
        <v>No</v>
      </c>
      <c r="H331" s="4" t="str">
        <f>VLOOKUP(D331,'25th May'!$D:$D,1,0)</f>
        <v>TS-AE-BP-2024</v>
      </c>
    </row>
    <row r="332">
      <c r="A332" s="5" t="s">
        <v>38</v>
      </c>
      <c r="B332" s="5" t="s">
        <v>18</v>
      </c>
      <c r="C332" s="5">
        <v>2022.0</v>
      </c>
      <c r="D332" s="5" t="str">
        <f t="shared" si="1"/>
        <v>TS-AE-BP-2022</v>
      </c>
      <c r="E332" s="6" t="str">
        <f>IF(ISNA(VLOOKUP(A332,'SIR States'!$A:$A,1,FALSE)),"No","Yes")</f>
        <v>No</v>
      </c>
      <c r="H332" s="4" t="str">
        <f>VLOOKUP(D332,'25th May'!$D:$D,1,0)</f>
        <v>TS-AE-BP-2022</v>
      </c>
    </row>
    <row r="333">
      <c r="A333" s="5" t="s">
        <v>38</v>
      </c>
      <c r="B333" s="5" t="s">
        <v>18</v>
      </c>
      <c r="C333" s="5">
        <v>2021.0</v>
      </c>
      <c r="D333" s="5" t="str">
        <f t="shared" si="1"/>
        <v>TS-AE-BP-2021</v>
      </c>
      <c r="E333" s="6" t="str">
        <f>IF(ISNA(VLOOKUP(A333,'SIR States'!$A:$A,1,FALSE)),"No","Yes")</f>
        <v>No</v>
      </c>
      <c r="H333" s="4" t="str">
        <f>VLOOKUP(D333,'25th May'!$D:$D,1,0)</f>
        <v>TS-AE-BP-2021</v>
      </c>
    </row>
    <row r="334">
      <c r="A334" s="5" t="s">
        <v>38</v>
      </c>
      <c r="B334" s="5" t="s">
        <v>18</v>
      </c>
      <c r="C334" s="5">
        <v>2020.0</v>
      </c>
      <c r="D334" s="5" t="str">
        <f t="shared" si="1"/>
        <v>TS-AE-BP-2020</v>
      </c>
      <c r="E334" s="6" t="str">
        <f>IF(ISNA(VLOOKUP(A334,'SIR States'!$A:$A,1,FALSE)),"No","Yes")</f>
        <v>No</v>
      </c>
      <c r="H334" s="4" t="str">
        <f>VLOOKUP(D334,'25th May'!$D:$D,1,0)</f>
        <v>TS-AE-BP-2020</v>
      </c>
    </row>
    <row r="335">
      <c r="A335" s="5" t="s">
        <v>38</v>
      </c>
      <c r="B335" s="5" t="s">
        <v>18</v>
      </c>
      <c r="C335" s="5">
        <v>2019.0</v>
      </c>
      <c r="D335" s="5" t="str">
        <f t="shared" si="1"/>
        <v>TS-AE-BP-2019</v>
      </c>
      <c r="E335" s="6" t="str">
        <f>IF(ISNA(VLOOKUP(A335,'SIR States'!$A:$A,1,FALSE)),"No","Yes")</f>
        <v>No</v>
      </c>
      <c r="H335" s="4" t="str">
        <f>VLOOKUP(D335,'25th May'!$D:$D,1,0)</f>
        <v>TS-AE-BP-2019</v>
      </c>
    </row>
    <row r="336">
      <c r="A336" s="5" t="s">
        <v>38</v>
      </c>
      <c r="B336" s="5" t="s">
        <v>18</v>
      </c>
      <c r="C336" s="5">
        <v>2016.0</v>
      </c>
      <c r="D336" s="5" t="str">
        <f t="shared" si="1"/>
        <v>TS-AE-BP-2016</v>
      </c>
      <c r="E336" s="6" t="str">
        <f>IF(ISNA(VLOOKUP(A336,'SIR States'!$A:$A,1,FALSE)),"No","Yes")</f>
        <v>No</v>
      </c>
      <c r="H336" s="4" t="str">
        <f>VLOOKUP(D336,'25th May'!$D:$D,1,0)</f>
        <v>TS-AE-BP-2016</v>
      </c>
    </row>
    <row r="337">
      <c r="A337" s="5" t="s">
        <v>38</v>
      </c>
      <c r="B337" s="5" t="s">
        <v>18</v>
      </c>
      <c r="C337" s="5">
        <v>2012.0</v>
      </c>
      <c r="D337" s="5" t="str">
        <f t="shared" si="1"/>
        <v>TS-AE-BP-2012</v>
      </c>
      <c r="E337" s="6" t="str">
        <f>IF(ISNA(VLOOKUP(A337,'SIR States'!$A:$A,1,FALSE)),"No","Yes")</f>
        <v>No</v>
      </c>
      <c r="H337" s="4" t="str">
        <f>VLOOKUP(D337,'25th May'!$D:$D,1,0)</f>
        <v>TS-AE-BP-2012</v>
      </c>
    </row>
    <row r="338">
      <c r="A338" s="5" t="s">
        <v>38</v>
      </c>
      <c r="B338" s="5" t="s">
        <v>18</v>
      </c>
      <c r="C338" s="5">
        <v>2011.0</v>
      </c>
      <c r="D338" s="5" t="str">
        <f t="shared" si="1"/>
        <v>TS-AE-BP-2011</v>
      </c>
      <c r="E338" s="6" t="str">
        <f>IF(ISNA(VLOOKUP(A338,'SIR States'!$A:$A,1,FALSE)),"No","Yes")</f>
        <v>No</v>
      </c>
      <c r="H338" s="4" t="str">
        <f>VLOOKUP(D338,'25th May'!$D:$D,1,0)</f>
        <v>TS-AE-BP-2011</v>
      </c>
    </row>
    <row r="339">
      <c r="A339" s="5" t="s">
        <v>38</v>
      </c>
      <c r="B339" s="5" t="s">
        <v>18</v>
      </c>
      <c r="C339" s="5">
        <v>2010.0</v>
      </c>
      <c r="D339" s="5" t="str">
        <f t="shared" si="1"/>
        <v>TS-AE-BP-2010</v>
      </c>
      <c r="E339" s="6" t="str">
        <f>IF(ISNA(VLOOKUP(A339,'SIR States'!$A:$A,1,FALSE)),"No","Yes")</f>
        <v>No</v>
      </c>
      <c r="H339" s="4" t="str">
        <f>VLOOKUP(D339,'25th May'!$D:$D,1,0)</f>
        <v>TS-AE-BP-2010</v>
      </c>
    </row>
    <row r="340">
      <c r="A340" s="5" t="s">
        <v>38</v>
      </c>
      <c r="B340" s="5" t="s">
        <v>18</v>
      </c>
      <c r="C340" s="5">
        <v>2008.0</v>
      </c>
      <c r="D340" s="5" t="str">
        <f t="shared" si="1"/>
        <v>TS-AE-BP-2008</v>
      </c>
      <c r="E340" s="6" t="str">
        <f>IF(ISNA(VLOOKUP(A340,'SIR States'!$A:$A,1,FALSE)),"No","Yes")</f>
        <v>No</v>
      </c>
      <c r="H340" s="4" t="str">
        <f>VLOOKUP(D340,'25th May'!$D:$D,1,0)</f>
        <v>TS-AE-BP-2008</v>
      </c>
    </row>
    <row r="341">
      <c r="A341" s="5" t="s">
        <v>36</v>
      </c>
      <c r="B341" s="5" t="s">
        <v>13</v>
      </c>
      <c r="C341" s="5">
        <v>2024.0</v>
      </c>
      <c r="D341" s="5" t="str">
        <f t="shared" si="1"/>
        <v>SK-AE-2024</v>
      </c>
      <c r="E341" s="6" t="str">
        <f>IF(ISNA(VLOOKUP(A341,'SIR States'!$A:$A,1,FALSE)),"No","Yes")</f>
        <v>No</v>
      </c>
      <c r="H341" s="4" t="str">
        <f>VLOOKUP(D341,'25th May'!$D:$D,1,0)</f>
        <v>SK-AE-2024</v>
      </c>
    </row>
    <row r="342">
      <c r="A342" s="5" t="s">
        <v>36</v>
      </c>
      <c r="B342" s="5" t="s">
        <v>21</v>
      </c>
      <c r="C342" s="5">
        <v>2024.0</v>
      </c>
      <c r="D342" s="5" t="str">
        <f t="shared" si="1"/>
        <v>SK-GE-2024</v>
      </c>
      <c r="E342" s="6" t="str">
        <f>IF(ISNA(VLOOKUP(A342,'SIR States'!$A:$A,1,FALSE)),"No","Yes")</f>
        <v>No</v>
      </c>
      <c r="H342" s="4" t="str">
        <f>VLOOKUP(D342,'25th May'!$D:$D,1,0)</f>
        <v>SK-GE-2024</v>
      </c>
    </row>
    <row r="343">
      <c r="A343" s="5" t="s">
        <v>19</v>
      </c>
      <c r="B343" s="5" t="s">
        <v>21</v>
      </c>
      <c r="C343" s="5">
        <v>2024.0</v>
      </c>
      <c r="D343" s="5" t="str">
        <f t="shared" si="1"/>
        <v>TR-GE-2024</v>
      </c>
      <c r="E343" s="6" t="str">
        <f>IF(ISNA(VLOOKUP(A343,'SIR States'!$A:$A,1,FALSE)),"No","Yes")</f>
        <v>No</v>
      </c>
      <c r="H343" s="4" t="str">
        <f>VLOOKUP(D343,'25th May'!$D:$D,1,0)</f>
        <v>TR-GE-2024</v>
      </c>
    </row>
    <row r="344">
      <c r="A344" s="5" t="s">
        <v>38</v>
      </c>
      <c r="B344" s="5" t="s">
        <v>21</v>
      </c>
      <c r="C344" s="5">
        <v>2024.0</v>
      </c>
      <c r="D344" s="5" t="str">
        <f t="shared" si="1"/>
        <v>TS-GE-2024</v>
      </c>
      <c r="E344" s="6" t="str">
        <f>IF(ISNA(VLOOKUP(A344,'SIR States'!$A:$A,1,FALSE)),"No","Yes")</f>
        <v>No</v>
      </c>
      <c r="H344" s="4" t="str">
        <f>VLOOKUP(D344,'25th May'!$D:$D,1,0)</f>
        <v>TS-GE-2024</v>
      </c>
    </row>
    <row r="345">
      <c r="A345" s="5" t="s">
        <v>38</v>
      </c>
      <c r="B345" s="5" t="s">
        <v>22</v>
      </c>
      <c r="C345" s="5">
        <v>2015.0</v>
      </c>
      <c r="D345" s="5" t="str">
        <f t="shared" si="1"/>
        <v>TS-GE-BP-2015</v>
      </c>
      <c r="E345" s="6" t="str">
        <f>IF(ISNA(VLOOKUP(A345,'SIR States'!$A:$A,1,FALSE)),"No","Yes")</f>
        <v>No</v>
      </c>
      <c r="H345" s="4" t="str">
        <f>VLOOKUP(D345,'25th May'!$D:$D,1,0)</f>
        <v>TS-GE-BP-2015</v>
      </c>
    </row>
    <row r="346">
      <c r="A346" s="5" t="s">
        <v>38</v>
      </c>
      <c r="B346" s="5" t="s">
        <v>22</v>
      </c>
      <c r="C346" s="5">
        <v>2014.0</v>
      </c>
      <c r="D346" s="5" t="str">
        <f t="shared" si="1"/>
        <v>TS-GE-BP-2014</v>
      </c>
      <c r="E346" s="6" t="str">
        <f>IF(ISNA(VLOOKUP(A346,'SIR States'!$A:$A,1,FALSE)),"No","Yes")</f>
        <v>No</v>
      </c>
      <c r="H346" s="4" t="str">
        <f>VLOOKUP(D346,'25th May'!$D:$D,1,0)</f>
        <v>TS-GE-BP-2014</v>
      </c>
    </row>
    <row r="347">
      <c r="A347" s="5" t="s">
        <v>38</v>
      </c>
      <c r="B347" s="5" t="s">
        <v>22</v>
      </c>
      <c r="C347" s="5">
        <v>2008.0</v>
      </c>
      <c r="D347" s="5" t="str">
        <f t="shared" si="1"/>
        <v>TS-GE-BP-2008</v>
      </c>
      <c r="E347" s="6" t="str">
        <f>IF(ISNA(VLOOKUP(A347,'SIR States'!$A:$A,1,FALSE)),"No","Yes")</f>
        <v>No</v>
      </c>
      <c r="H347" s="4" t="str">
        <f>VLOOKUP(D347,'25th May'!$D:$D,1,0)</f>
        <v>TS-GE-BP-2008</v>
      </c>
    </row>
    <row r="348">
      <c r="A348" s="5" t="s">
        <v>50</v>
      </c>
      <c r="B348" s="5" t="s">
        <v>18</v>
      </c>
      <c r="C348" s="5">
        <v>2024.0</v>
      </c>
      <c r="D348" s="5" t="str">
        <f t="shared" si="1"/>
        <v>UK-AE-BP-2024</v>
      </c>
      <c r="E348" s="6" t="str">
        <f>IF(ISNA(VLOOKUP(A348,'SIR States'!$A:$A,1,FALSE)),"No","Yes")</f>
        <v>Yes</v>
      </c>
      <c r="H348" s="4" t="str">
        <f>VLOOKUP(D348,'25th May'!$D:$D,1,0)</f>
        <v>UK-AE-BP-2024</v>
      </c>
    </row>
    <row r="349">
      <c r="A349" s="5" t="s">
        <v>50</v>
      </c>
      <c r="B349" s="5" t="s">
        <v>18</v>
      </c>
      <c r="C349" s="5">
        <v>2023.0</v>
      </c>
      <c r="D349" s="5" t="str">
        <f t="shared" si="1"/>
        <v>UK-AE-BP-2023</v>
      </c>
      <c r="E349" s="6" t="str">
        <f>IF(ISNA(VLOOKUP(A349,'SIR States'!$A:$A,1,FALSE)),"No","Yes")</f>
        <v>Yes</v>
      </c>
      <c r="H349" s="4" t="str">
        <f>VLOOKUP(D349,'25th May'!$D:$D,1,0)</f>
        <v>UK-AE-BP-2023</v>
      </c>
    </row>
    <row r="350">
      <c r="A350" s="5" t="s">
        <v>50</v>
      </c>
      <c r="B350" s="5" t="s">
        <v>18</v>
      </c>
      <c r="C350" s="5">
        <v>2022.0</v>
      </c>
      <c r="D350" s="5" t="str">
        <f t="shared" si="1"/>
        <v>UK-AE-BP-2022</v>
      </c>
      <c r="E350" s="6" t="str">
        <f>IF(ISNA(VLOOKUP(A350,'SIR States'!$A:$A,1,FALSE)),"No","Yes")</f>
        <v>Yes</v>
      </c>
      <c r="H350" s="4" t="str">
        <f>VLOOKUP(D350,'25th May'!$D:$D,1,0)</f>
        <v>UK-AE-BP-2022</v>
      </c>
    </row>
    <row r="351">
      <c r="A351" s="5" t="s">
        <v>50</v>
      </c>
      <c r="B351" s="5" t="s">
        <v>18</v>
      </c>
      <c r="C351" s="5">
        <v>2021.0</v>
      </c>
      <c r="D351" s="5" t="str">
        <f t="shared" si="1"/>
        <v>UK-AE-BP-2021</v>
      </c>
      <c r="E351" s="6" t="str">
        <f>IF(ISNA(VLOOKUP(A351,'SIR States'!$A:$A,1,FALSE)),"No","Yes")</f>
        <v>Yes</v>
      </c>
      <c r="H351" s="4" t="str">
        <f>VLOOKUP(D351,'25th May'!$D:$D,1,0)</f>
        <v>UK-AE-BP-2021</v>
      </c>
    </row>
    <row r="352">
      <c r="A352" s="5" t="s">
        <v>50</v>
      </c>
      <c r="B352" s="5" t="s">
        <v>18</v>
      </c>
      <c r="C352" s="5">
        <v>2019.0</v>
      </c>
      <c r="D352" s="5" t="str">
        <f t="shared" si="1"/>
        <v>UK-AE-BP-2019</v>
      </c>
      <c r="E352" s="6" t="str">
        <f>IF(ISNA(VLOOKUP(A352,'SIR States'!$A:$A,1,FALSE)),"No","Yes")</f>
        <v>Yes</v>
      </c>
      <c r="H352" s="4" t="str">
        <f>VLOOKUP(D352,'25th May'!$D:$D,1,0)</f>
        <v>UK-AE-BP-2019</v>
      </c>
    </row>
    <row r="353">
      <c r="A353" s="5" t="s">
        <v>50</v>
      </c>
      <c r="B353" s="5" t="s">
        <v>18</v>
      </c>
      <c r="C353" s="5">
        <v>2018.0</v>
      </c>
      <c r="D353" s="5" t="str">
        <f t="shared" si="1"/>
        <v>UK-AE-BP-2018</v>
      </c>
      <c r="E353" s="6" t="str">
        <f>IF(ISNA(VLOOKUP(A353,'SIR States'!$A:$A,1,FALSE)),"No","Yes")</f>
        <v>Yes</v>
      </c>
      <c r="H353" s="4" t="str">
        <f>VLOOKUP(D353,'25th May'!$D:$D,1,0)</f>
        <v>UK-AE-BP-2018</v>
      </c>
    </row>
    <row r="354">
      <c r="A354" s="5" t="s">
        <v>50</v>
      </c>
      <c r="B354" s="5" t="s">
        <v>18</v>
      </c>
      <c r="C354" s="5">
        <v>2015.0</v>
      </c>
      <c r="D354" s="5" t="str">
        <f t="shared" si="1"/>
        <v>UK-AE-BP-2015</v>
      </c>
      <c r="E354" s="6" t="str">
        <f>IF(ISNA(VLOOKUP(A354,'SIR States'!$A:$A,1,FALSE)),"No","Yes")</f>
        <v>Yes</v>
      </c>
      <c r="H354" s="4" t="str">
        <f>VLOOKUP(D354,'25th May'!$D:$D,1,0)</f>
        <v>UK-AE-BP-2015</v>
      </c>
    </row>
    <row r="355">
      <c r="A355" s="5" t="s">
        <v>50</v>
      </c>
      <c r="B355" s="5" t="s">
        <v>18</v>
      </c>
      <c r="C355" s="5">
        <v>2014.0</v>
      </c>
      <c r="D355" s="5" t="str">
        <f t="shared" si="1"/>
        <v>UK-AE-BP-2014</v>
      </c>
      <c r="E355" s="6" t="str">
        <f>IF(ISNA(VLOOKUP(A355,'SIR States'!$A:$A,1,FALSE)),"No","Yes")</f>
        <v>Yes</v>
      </c>
      <c r="H355" s="4" t="str">
        <f>VLOOKUP(D355,'25th May'!$D:$D,1,0)</f>
        <v>UK-AE-BP-2014</v>
      </c>
    </row>
    <row r="356">
      <c r="A356" s="5" t="s">
        <v>50</v>
      </c>
      <c r="B356" s="5" t="s">
        <v>18</v>
      </c>
      <c r="C356" s="5">
        <v>2012.0</v>
      </c>
      <c r="D356" s="5" t="str">
        <f t="shared" si="1"/>
        <v>UK-AE-BP-2012</v>
      </c>
      <c r="E356" s="6" t="str">
        <f>IF(ISNA(VLOOKUP(A356,'SIR States'!$A:$A,1,FALSE)),"No","Yes")</f>
        <v>Yes</v>
      </c>
      <c r="H356" s="4" t="str">
        <f>VLOOKUP(D356,'25th May'!$D:$D,1,0)</f>
        <v>UK-AE-BP-2012</v>
      </c>
    </row>
    <row r="357">
      <c r="A357" s="5" t="s">
        <v>50</v>
      </c>
      <c r="B357" s="5" t="s">
        <v>18</v>
      </c>
      <c r="C357" s="5">
        <v>2009.0</v>
      </c>
      <c r="D357" s="5" t="str">
        <f t="shared" si="1"/>
        <v>UK-AE-BP-2009</v>
      </c>
      <c r="E357" s="6" t="str">
        <f>IF(ISNA(VLOOKUP(A357,'SIR States'!$A:$A,1,FALSE)),"No","Yes")</f>
        <v>Yes</v>
      </c>
      <c r="H357" s="4" t="str">
        <f>VLOOKUP(D357,'25th May'!$D:$D,1,0)</f>
        <v>UK-AE-BP-2009</v>
      </c>
    </row>
    <row r="358">
      <c r="A358" s="5" t="s">
        <v>50</v>
      </c>
      <c r="B358" s="5" t="s">
        <v>22</v>
      </c>
      <c r="C358" s="5">
        <v>2012.0</v>
      </c>
      <c r="D358" s="5" t="str">
        <f t="shared" si="1"/>
        <v>UK-GE-BP-2012</v>
      </c>
      <c r="E358" s="6" t="str">
        <f>IF(ISNA(VLOOKUP(A358,'SIR States'!$A:$A,1,FALSE)),"No","Yes")</f>
        <v>Yes</v>
      </c>
      <c r="H358" s="4" t="str">
        <f>VLOOKUP(D358,'25th May'!$D:$D,1,0)</f>
        <v>UK-GE-BP-2012</v>
      </c>
    </row>
    <row r="359">
      <c r="A359" s="5" t="s">
        <v>50</v>
      </c>
      <c r="B359" s="5" t="s">
        <v>22</v>
      </c>
      <c r="C359" s="5">
        <v>2008.0</v>
      </c>
      <c r="D359" s="5" t="str">
        <f t="shared" si="1"/>
        <v>UK-GE-BP-2008</v>
      </c>
      <c r="E359" s="6" t="str">
        <f>IF(ISNA(VLOOKUP(A359,'SIR States'!$A:$A,1,FALSE)),"No","Yes")</f>
        <v>Yes</v>
      </c>
      <c r="H359" s="4" t="str">
        <f>VLOOKUP(D359,'25th May'!$D:$D,1,0)</f>
        <v>UK-GE-BP-2008</v>
      </c>
    </row>
    <row r="360">
      <c r="A360" s="5" t="s">
        <v>51</v>
      </c>
      <c r="B360" s="5" t="s">
        <v>18</v>
      </c>
      <c r="C360" s="5">
        <v>2025.0</v>
      </c>
      <c r="D360" s="5" t="str">
        <f t="shared" si="1"/>
        <v>UP-AE-BP-2025</v>
      </c>
      <c r="E360" s="6" t="str">
        <f>IF(ISNA(VLOOKUP(A360,'SIR States'!$A:$A,1,FALSE)),"No","Yes")</f>
        <v>No</v>
      </c>
      <c r="H360" s="4" t="str">
        <f>VLOOKUP(D360,'25th May'!$D:$D,1,0)</f>
        <v>UP-AE-BP-2025</v>
      </c>
    </row>
    <row r="361">
      <c r="A361" s="5" t="s">
        <v>51</v>
      </c>
      <c r="B361" s="5" t="s">
        <v>18</v>
      </c>
      <c r="C361" s="5">
        <v>2024.0</v>
      </c>
      <c r="D361" s="5" t="str">
        <f t="shared" si="1"/>
        <v>UP-AE-BP-2024</v>
      </c>
      <c r="E361" s="6" t="str">
        <f>IF(ISNA(VLOOKUP(A361,'SIR States'!$A:$A,1,FALSE)),"No","Yes")</f>
        <v>No</v>
      </c>
      <c r="H361" s="4" t="str">
        <f>VLOOKUP(D361,'25th May'!$D:$D,1,0)</f>
        <v>UP-AE-BP-2024</v>
      </c>
    </row>
    <row r="362">
      <c r="A362" s="5" t="s">
        <v>51</v>
      </c>
      <c r="B362" s="5" t="s">
        <v>18</v>
      </c>
      <c r="C362" s="5">
        <v>2023.0</v>
      </c>
      <c r="D362" s="5" t="str">
        <f t="shared" si="1"/>
        <v>UP-AE-BP-2023</v>
      </c>
      <c r="E362" s="6" t="str">
        <f>IF(ISNA(VLOOKUP(A362,'SIR States'!$A:$A,1,FALSE)),"No","Yes")</f>
        <v>No</v>
      </c>
      <c r="H362" s="4" t="str">
        <f>VLOOKUP(D362,'25th May'!$D:$D,1,0)</f>
        <v>UP-AE-BP-2023</v>
      </c>
    </row>
    <row r="363">
      <c r="A363" s="5" t="s">
        <v>51</v>
      </c>
      <c r="B363" s="5" t="s">
        <v>18</v>
      </c>
      <c r="C363" s="5">
        <v>2022.0</v>
      </c>
      <c r="D363" s="5" t="str">
        <f t="shared" si="1"/>
        <v>UP-AE-BP-2022</v>
      </c>
      <c r="E363" s="6" t="str">
        <f>IF(ISNA(VLOOKUP(A363,'SIR States'!$A:$A,1,FALSE)),"No","Yes")</f>
        <v>No</v>
      </c>
      <c r="H363" s="4" t="str">
        <f>VLOOKUP(D363,'25th May'!$D:$D,1,0)</f>
        <v>UP-AE-BP-2022</v>
      </c>
    </row>
    <row r="364">
      <c r="A364" s="5" t="s">
        <v>51</v>
      </c>
      <c r="B364" s="5" t="s">
        <v>18</v>
      </c>
      <c r="C364" s="5">
        <v>2021.0</v>
      </c>
      <c r="D364" s="5" t="str">
        <f t="shared" si="1"/>
        <v>UP-AE-BP-2021</v>
      </c>
      <c r="E364" s="6" t="str">
        <f>IF(ISNA(VLOOKUP(A364,'SIR States'!$A:$A,1,FALSE)),"No","Yes")</f>
        <v>No</v>
      </c>
      <c r="H364" s="4" t="str">
        <f>VLOOKUP(D364,'25th May'!$D:$D,1,0)</f>
        <v>UP-AE-BP-2021</v>
      </c>
    </row>
    <row r="365">
      <c r="A365" s="5" t="s">
        <v>51</v>
      </c>
      <c r="B365" s="5" t="s">
        <v>18</v>
      </c>
      <c r="C365" s="5">
        <v>2020.0</v>
      </c>
      <c r="D365" s="5" t="str">
        <f t="shared" si="1"/>
        <v>UP-AE-BP-2020</v>
      </c>
      <c r="E365" s="6" t="str">
        <f>IF(ISNA(VLOOKUP(A365,'SIR States'!$A:$A,1,FALSE)),"No","Yes")</f>
        <v>No</v>
      </c>
      <c r="H365" s="4" t="str">
        <f>VLOOKUP(D365,'25th May'!$D:$D,1,0)</f>
        <v>UP-AE-BP-2020</v>
      </c>
    </row>
    <row r="366">
      <c r="A366" s="5" t="s">
        <v>51</v>
      </c>
      <c r="B366" s="5" t="s">
        <v>18</v>
      </c>
      <c r="C366" s="5">
        <v>2019.0</v>
      </c>
      <c r="D366" s="5" t="str">
        <f t="shared" si="1"/>
        <v>UP-AE-BP-2019</v>
      </c>
      <c r="E366" s="6" t="str">
        <f>IF(ISNA(VLOOKUP(A366,'SIR States'!$A:$A,1,FALSE)),"No","Yes")</f>
        <v>No</v>
      </c>
      <c r="H366" s="4" t="str">
        <f>VLOOKUP(D366,'25th May'!$D:$D,1,0)</f>
        <v>UP-AE-BP-2019</v>
      </c>
    </row>
    <row r="367">
      <c r="A367" s="5" t="s">
        <v>51</v>
      </c>
      <c r="B367" s="5" t="s">
        <v>18</v>
      </c>
      <c r="C367" s="5">
        <v>2018.0</v>
      </c>
      <c r="D367" s="5" t="str">
        <f t="shared" si="1"/>
        <v>UP-AE-BP-2018</v>
      </c>
      <c r="E367" s="6" t="str">
        <f>IF(ISNA(VLOOKUP(A367,'SIR States'!$A:$A,1,FALSE)),"No","Yes")</f>
        <v>No</v>
      </c>
      <c r="H367" s="4" t="str">
        <f>VLOOKUP(D367,'25th May'!$D:$D,1,0)</f>
        <v>UP-AE-BP-2018</v>
      </c>
    </row>
    <row r="368">
      <c r="A368" s="5" t="s">
        <v>51</v>
      </c>
      <c r="B368" s="5" t="s">
        <v>18</v>
      </c>
      <c r="C368" s="5">
        <v>2017.0</v>
      </c>
      <c r="D368" s="5" t="str">
        <f t="shared" si="1"/>
        <v>UP-AE-BP-2017</v>
      </c>
      <c r="E368" s="6" t="str">
        <f>IF(ISNA(VLOOKUP(A368,'SIR States'!$A:$A,1,FALSE)),"No","Yes")</f>
        <v>No</v>
      </c>
      <c r="H368" s="4" t="str">
        <f>VLOOKUP(D368,'25th May'!$D:$D,1,0)</f>
        <v>UP-AE-BP-2017</v>
      </c>
    </row>
    <row r="369">
      <c r="A369" s="5" t="s">
        <v>51</v>
      </c>
      <c r="B369" s="5" t="s">
        <v>18</v>
      </c>
      <c r="C369" s="5">
        <v>2016.0</v>
      </c>
      <c r="D369" s="5" t="str">
        <f t="shared" si="1"/>
        <v>UP-AE-BP-2016</v>
      </c>
      <c r="E369" s="6" t="str">
        <f>IF(ISNA(VLOOKUP(A369,'SIR States'!$A:$A,1,FALSE)),"No","Yes")</f>
        <v>No</v>
      </c>
      <c r="H369" s="4" t="str">
        <f>VLOOKUP(D369,'25th May'!$D:$D,1,0)</f>
        <v>UP-AE-BP-2016</v>
      </c>
    </row>
    <row r="370">
      <c r="A370" s="5" t="s">
        <v>51</v>
      </c>
      <c r="B370" s="5" t="s">
        <v>18</v>
      </c>
      <c r="C370" s="5">
        <v>2015.0</v>
      </c>
      <c r="D370" s="5" t="str">
        <f t="shared" si="1"/>
        <v>UP-AE-BP-2015</v>
      </c>
      <c r="E370" s="6" t="str">
        <f>IF(ISNA(VLOOKUP(A370,'SIR States'!$A:$A,1,FALSE)),"No","Yes")</f>
        <v>No</v>
      </c>
      <c r="H370" s="4" t="str">
        <f>VLOOKUP(D370,'25th May'!$D:$D,1,0)</f>
        <v>UP-AE-BP-2015</v>
      </c>
    </row>
    <row r="371">
      <c r="A371" s="5" t="s">
        <v>51</v>
      </c>
      <c r="B371" s="5" t="s">
        <v>18</v>
      </c>
      <c r="C371" s="5">
        <v>2014.0</v>
      </c>
      <c r="D371" s="5" t="str">
        <f t="shared" si="1"/>
        <v>UP-AE-BP-2014</v>
      </c>
      <c r="E371" s="6" t="str">
        <f>IF(ISNA(VLOOKUP(A371,'SIR States'!$A:$A,1,FALSE)),"No","Yes")</f>
        <v>No</v>
      </c>
      <c r="H371" s="4" t="str">
        <f>VLOOKUP(D371,'25th May'!$D:$D,1,0)</f>
        <v>UP-AE-BP-2014</v>
      </c>
    </row>
    <row r="372">
      <c r="A372" s="5" t="s">
        <v>51</v>
      </c>
      <c r="B372" s="5" t="s">
        <v>18</v>
      </c>
      <c r="C372" s="5">
        <v>2013.0</v>
      </c>
      <c r="D372" s="5" t="str">
        <f t="shared" si="1"/>
        <v>UP-AE-BP-2013</v>
      </c>
      <c r="E372" s="6" t="str">
        <f>IF(ISNA(VLOOKUP(A372,'SIR States'!$A:$A,1,FALSE)),"No","Yes")</f>
        <v>No</v>
      </c>
      <c r="H372" s="4" t="str">
        <f>VLOOKUP(D372,'25th May'!$D:$D,1,0)</f>
        <v>UP-AE-BP-2013</v>
      </c>
    </row>
    <row r="373">
      <c r="A373" s="5" t="s">
        <v>51</v>
      </c>
      <c r="B373" s="5" t="s">
        <v>18</v>
      </c>
      <c r="C373" s="5">
        <v>2011.0</v>
      </c>
      <c r="D373" s="5" t="str">
        <f t="shared" si="1"/>
        <v>UP-AE-BP-2011</v>
      </c>
      <c r="E373" s="6" t="str">
        <f>IF(ISNA(VLOOKUP(A373,'SIR States'!$A:$A,1,FALSE)),"No","Yes")</f>
        <v>No</v>
      </c>
      <c r="H373" s="4" t="str">
        <f>VLOOKUP(D373,'25th May'!$D:$D,1,0)</f>
        <v>UP-AE-BP-2011</v>
      </c>
    </row>
    <row r="374">
      <c r="A374" s="5" t="s">
        <v>51</v>
      </c>
      <c r="B374" s="5" t="s">
        <v>18</v>
      </c>
      <c r="C374" s="5">
        <v>2010.0</v>
      </c>
      <c r="D374" s="5" t="str">
        <f t="shared" si="1"/>
        <v>UP-AE-BP-2010</v>
      </c>
      <c r="E374" s="6" t="str">
        <f>IF(ISNA(VLOOKUP(A374,'SIR States'!$A:$A,1,FALSE)),"No","Yes")</f>
        <v>No</v>
      </c>
      <c r="H374" s="4" t="str">
        <f>VLOOKUP(D374,'25th May'!$D:$D,1,0)</f>
        <v>UP-AE-BP-2010</v>
      </c>
    </row>
    <row r="375">
      <c r="A375" s="5" t="s">
        <v>51</v>
      </c>
      <c r="B375" s="5" t="s">
        <v>18</v>
      </c>
      <c r="C375" s="5">
        <v>2009.0</v>
      </c>
      <c r="D375" s="5" t="str">
        <f t="shared" si="1"/>
        <v>UP-AE-BP-2009</v>
      </c>
      <c r="E375" s="6" t="str">
        <f>IF(ISNA(VLOOKUP(A375,'SIR States'!$A:$A,1,FALSE)),"No","Yes")</f>
        <v>No</v>
      </c>
      <c r="H375" s="4" t="str">
        <f>VLOOKUP(D375,'25th May'!$D:$D,1,0)</f>
        <v>UP-AE-BP-2009</v>
      </c>
    </row>
    <row r="376">
      <c r="A376" s="5" t="s">
        <v>51</v>
      </c>
      <c r="B376" s="5" t="s">
        <v>22</v>
      </c>
      <c r="C376" s="5">
        <v>2021.0</v>
      </c>
      <c r="D376" s="5" t="str">
        <f t="shared" si="1"/>
        <v>UP-GE-BP-2021</v>
      </c>
      <c r="E376" s="6" t="str">
        <f>IF(ISNA(VLOOKUP(A376,'SIR States'!$A:$A,1,FALSE)),"No","Yes")</f>
        <v>No</v>
      </c>
      <c r="H376" s="4" t="str">
        <f>VLOOKUP(D376,'25th May'!$D:$D,1,0)</f>
        <v>UP-GE-BP-2021</v>
      </c>
    </row>
    <row r="377">
      <c r="A377" s="5" t="s">
        <v>51</v>
      </c>
      <c r="B377" s="5" t="s">
        <v>22</v>
      </c>
      <c r="C377" s="5">
        <v>2018.0</v>
      </c>
      <c r="D377" s="5" t="str">
        <f t="shared" si="1"/>
        <v>UP-GE-BP-2018</v>
      </c>
      <c r="E377" s="6" t="str">
        <f>IF(ISNA(VLOOKUP(A377,'SIR States'!$A:$A,1,FALSE)),"No","Yes")</f>
        <v>No</v>
      </c>
      <c r="H377" s="4" t="str">
        <f>VLOOKUP(D377,'25th May'!$D:$D,1,0)</f>
        <v>UP-GE-BP-2018</v>
      </c>
    </row>
    <row r="378">
      <c r="A378" s="5" t="s">
        <v>51</v>
      </c>
      <c r="B378" s="5" t="s">
        <v>22</v>
      </c>
      <c r="C378" s="5">
        <v>2014.0</v>
      </c>
      <c r="D378" s="5" t="str">
        <f t="shared" si="1"/>
        <v>UP-GE-BP-2014</v>
      </c>
      <c r="E378" s="6" t="str">
        <f>IF(ISNA(VLOOKUP(A378,'SIR States'!$A:$A,1,FALSE)),"No","Yes")</f>
        <v>No</v>
      </c>
      <c r="H378" s="4" t="str">
        <f>VLOOKUP(D378,'25th May'!$D:$D,1,0)</f>
        <v>UP-GE-BP-2014</v>
      </c>
    </row>
    <row r="379">
      <c r="A379" s="5" t="s">
        <v>51</v>
      </c>
      <c r="B379" s="5" t="s">
        <v>22</v>
      </c>
      <c r="C379" s="5">
        <v>2012.0</v>
      </c>
      <c r="D379" s="5" t="str">
        <f t="shared" si="1"/>
        <v>UP-GE-BP-2012</v>
      </c>
      <c r="E379" s="6" t="str">
        <f>IF(ISNA(VLOOKUP(A379,'SIR States'!$A:$A,1,FALSE)),"No","Yes")</f>
        <v>No</v>
      </c>
      <c r="H379" s="4" t="str">
        <f>VLOOKUP(D379,'25th May'!$D:$D,1,0)</f>
        <v>UP-GE-BP-2012</v>
      </c>
    </row>
    <row r="380">
      <c r="A380" s="5" t="s">
        <v>12</v>
      </c>
      <c r="B380" s="5" t="s">
        <v>13</v>
      </c>
      <c r="C380" s="5">
        <v>2025.0</v>
      </c>
      <c r="D380" s="5" t="str">
        <f t="shared" si="1"/>
        <v>DL-AE-2025</v>
      </c>
      <c r="E380" s="6" t="str">
        <f>IF(ISNA(VLOOKUP(A380,'SIR States'!$A:$A,1,FALSE)),"No","Yes")</f>
        <v>No</v>
      </c>
      <c r="H380" s="4" t="str">
        <f>VLOOKUP(D380,'25th May'!$D:$D,1,0)</f>
        <v>DL-AE-2025</v>
      </c>
    </row>
    <row r="381">
      <c r="A381" s="5" t="s">
        <v>39</v>
      </c>
      <c r="B381" s="5" t="s">
        <v>18</v>
      </c>
      <c r="C381" s="5">
        <v>2025.0</v>
      </c>
      <c r="D381" s="5" t="str">
        <f t="shared" si="1"/>
        <v>WB-AE-BP-2025</v>
      </c>
      <c r="E381" s="6" t="str">
        <f>IF(ISNA(VLOOKUP(A381,'SIR States'!$A:$A,1,FALSE)),"No","Yes")</f>
        <v>No</v>
      </c>
      <c r="H381" s="4" t="str">
        <f>VLOOKUP(D381,'25th May'!$D:$D,1,0)</f>
        <v>WB-AE-BP-2025</v>
      </c>
    </row>
    <row r="382">
      <c r="A382" s="5" t="s">
        <v>39</v>
      </c>
      <c r="B382" s="5" t="s">
        <v>18</v>
      </c>
      <c r="C382" s="5">
        <v>2024.0</v>
      </c>
      <c r="D382" s="5" t="str">
        <f t="shared" si="1"/>
        <v>WB-AE-BP-2024</v>
      </c>
      <c r="E382" s="6" t="str">
        <f>IF(ISNA(VLOOKUP(A382,'SIR States'!$A:$A,1,FALSE)),"No","Yes")</f>
        <v>No</v>
      </c>
      <c r="H382" s="4" t="str">
        <f>VLOOKUP(D382,'25th May'!$D:$D,1,0)</f>
        <v>WB-AE-BP-2024</v>
      </c>
    </row>
    <row r="383">
      <c r="A383" s="5" t="s">
        <v>39</v>
      </c>
      <c r="B383" s="5" t="s">
        <v>18</v>
      </c>
      <c r="C383" s="5">
        <v>2023.0</v>
      </c>
      <c r="D383" s="5" t="str">
        <f t="shared" si="1"/>
        <v>WB-AE-BP-2023</v>
      </c>
      <c r="E383" s="6" t="str">
        <f>IF(ISNA(VLOOKUP(A383,'SIR States'!$A:$A,1,FALSE)),"No","Yes")</f>
        <v>No</v>
      </c>
      <c r="H383" s="4" t="str">
        <f>VLOOKUP(D383,'25th May'!$D:$D,1,0)</f>
        <v>WB-AE-BP-2023</v>
      </c>
    </row>
    <row r="384">
      <c r="A384" s="5" t="s">
        <v>39</v>
      </c>
      <c r="B384" s="5" t="s">
        <v>18</v>
      </c>
      <c r="C384" s="5">
        <v>2022.0</v>
      </c>
      <c r="D384" s="5" t="str">
        <f t="shared" si="1"/>
        <v>WB-AE-BP-2022</v>
      </c>
      <c r="E384" s="6" t="str">
        <f>IF(ISNA(VLOOKUP(A384,'SIR States'!$A:$A,1,FALSE)),"No","Yes")</f>
        <v>No</v>
      </c>
      <c r="H384" s="4" t="str">
        <f>VLOOKUP(D384,'25th May'!$D:$D,1,0)</f>
        <v>WB-AE-BP-2022</v>
      </c>
    </row>
    <row r="385">
      <c r="A385" s="5" t="s">
        <v>39</v>
      </c>
      <c r="B385" s="5" t="s">
        <v>18</v>
      </c>
      <c r="C385" s="5">
        <v>2018.0</v>
      </c>
      <c r="D385" s="5" t="str">
        <f t="shared" si="1"/>
        <v>WB-AE-BP-2018</v>
      </c>
      <c r="E385" s="6" t="str">
        <f>IF(ISNA(VLOOKUP(A385,'SIR States'!$A:$A,1,FALSE)),"No","Yes")</f>
        <v>No</v>
      </c>
      <c r="H385" s="4" t="str">
        <f>VLOOKUP(D385,'25th May'!$D:$D,1,0)</f>
        <v>WB-AE-BP-2018</v>
      </c>
    </row>
    <row r="386">
      <c r="A386" s="5" t="s">
        <v>39</v>
      </c>
      <c r="B386" s="5" t="s">
        <v>18</v>
      </c>
      <c r="C386" s="5">
        <v>2017.0</v>
      </c>
      <c r="D386" s="5" t="str">
        <f t="shared" si="1"/>
        <v>WB-AE-BP-2017</v>
      </c>
      <c r="E386" s="6" t="str">
        <f>IF(ISNA(VLOOKUP(A386,'SIR States'!$A:$A,1,FALSE)),"No","Yes")</f>
        <v>No</v>
      </c>
      <c r="H386" s="4" t="str">
        <f>VLOOKUP(D386,'25th May'!$D:$D,1,0)</f>
        <v>WB-AE-BP-2017</v>
      </c>
    </row>
    <row r="387">
      <c r="A387" s="5" t="s">
        <v>39</v>
      </c>
      <c r="B387" s="5" t="s">
        <v>18</v>
      </c>
      <c r="C387" s="5">
        <v>2016.0</v>
      </c>
      <c r="D387" s="5" t="str">
        <f t="shared" si="1"/>
        <v>WB-AE-BP-2016</v>
      </c>
      <c r="E387" s="6" t="str">
        <f>IF(ISNA(VLOOKUP(A387,'SIR States'!$A:$A,1,FALSE)),"No","Yes")</f>
        <v>No</v>
      </c>
      <c r="H387" s="4" t="str">
        <f>VLOOKUP(D387,'25th May'!$D:$D,1,0)</f>
        <v>WB-AE-BP-2016</v>
      </c>
    </row>
    <row r="388">
      <c r="A388" s="5" t="s">
        <v>39</v>
      </c>
      <c r="B388" s="5" t="s">
        <v>18</v>
      </c>
      <c r="C388" s="5">
        <v>2012.0</v>
      </c>
      <c r="D388" s="5" t="str">
        <f t="shared" si="1"/>
        <v>WB-AE-BP-2012</v>
      </c>
      <c r="E388" s="6" t="str">
        <f>IF(ISNA(VLOOKUP(A388,'SIR States'!$A:$A,1,FALSE)),"No","Yes")</f>
        <v>No</v>
      </c>
      <c r="H388" s="4" t="str">
        <f>VLOOKUP(D388,'25th May'!$D:$D,1,0)</f>
        <v>WB-AE-BP-2012</v>
      </c>
    </row>
    <row r="389">
      <c r="A389" s="5" t="s">
        <v>39</v>
      </c>
      <c r="B389" s="5" t="s">
        <v>18</v>
      </c>
      <c r="C389" s="5">
        <v>2011.0</v>
      </c>
      <c r="D389" s="5" t="str">
        <f t="shared" si="1"/>
        <v>WB-AE-BP-2011</v>
      </c>
      <c r="E389" s="6" t="str">
        <f>IF(ISNA(VLOOKUP(A389,'SIR States'!$A:$A,1,FALSE)),"No","Yes")</f>
        <v>No</v>
      </c>
      <c r="H389" s="4" t="str">
        <f>VLOOKUP(D389,'25th May'!$D:$D,1,0)</f>
        <v>WB-AE-BP-2011</v>
      </c>
    </row>
    <row r="390">
      <c r="A390" s="5" t="s">
        <v>39</v>
      </c>
      <c r="B390" s="5" t="s">
        <v>18</v>
      </c>
      <c r="C390" s="5">
        <v>2010.0</v>
      </c>
      <c r="D390" s="5" t="str">
        <f t="shared" si="1"/>
        <v>WB-AE-BP-2010</v>
      </c>
      <c r="E390" s="6" t="str">
        <f>IF(ISNA(VLOOKUP(A390,'SIR States'!$A:$A,1,FALSE)),"No","Yes")</f>
        <v>No</v>
      </c>
      <c r="H390" s="4" t="str">
        <f>VLOOKUP(D390,'25th May'!$D:$D,1,0)</f>
        <v>WB-AE-BP-2010</v>
      </c>
    </row>
    <row r="391">
      <c r="A391" s="5" t="s">
        <v>39</v>
      </c>
      <c r="B391" s="5" t="s">
        <v>18</v>
      </c>
      <c r="C391" s="5">
        <v>2009.0</v>
      </c>
      <c r="D391" s="5" t="str">
        <f t="shared" si="1"/>
        <v>WB-AE-BP-2009</v>
      </c>
      <c r="E391" s="6" t="str">
        <f>IF(ISNA(VLOOKUP(A391,'SIR States'!$A:$A,1,FALSE)),"No","Yes")</f>
        <v>No</v>
      </c>
      <c r="H391" s="4" t="str">
        <f>VLOOKUP(D391,'25th May'!$D:$D,1,0)</f>
        <v>WB-AE-BP-2009</v>
      </c>
    </row>
    <row r="392">
      <c r="A392" s="5" t="s">
        <v>39</v>
      </c>
      <c r="B392" s="5" t="s">
        <v>22</v>
      </c>
      <c r="C392" s="5">
        <v>2022.0</v>
      </c>
      <c r="D392" s="5" t="str">
        <f t="shared" si="1"/>
        <v>WB-GE-BP-2022</v>
      </c>
      <c r="E392" s="6" t="str">
        <f>IF(ISNA(VLOOKUP(A392,'SIR States'!$A:$A,1,FALSE)),"No","Yes")</f>
        <v>No</v>
      </c>
      <c r="H392" s="4" t="str">
        <f>VLOOKUP(D392,'25th May'!$D:$D,1,0)</f>
        <v>WB-GE-BP-2022</v>
      </c>
    </row>
    <row r="393">
      <c r="A393" s="5" t="s">
        <v>39</v>
      </c>
      <c r="B393" s="5" t="s">
        <v>22</v>
      </c>
      <c r="C393" s="5">
        <v>2018.0</v>
      </c>
      <c r="D393" s="5" t="str">
        <f t="shared" si="1"/>
        <v>WB-GE-BP-2018</v>
      </c>
      <c r="E393" s="6" t="str">
        <f>IF(ISNA(VLOOKUP(A393,'SIR States'!$A:$A,1,FALSE)),"No","Yes")</f>
        <v>No</v>
      </c>
      <c r="H393" s="4" t="str">
        <f>VLOOKUP(D393,'25th May'!$D:$D,1,0)</f>
        <v>WB-GE-BP-2018</v>
      </c>
    </row>
    <row r="394">
      <c r="A394" s="5" t="s">
        <v>39</v>
      </c>
      <c r="B394" s="5" t="s">
        <v>22</v>
      </c>
      <c r="C394" s="5">
        <v>2016.0</v>
      </c>
      <c r="D394" s="5" t="str">
        <f t="shared" si="1"/>
        <v>WB-GE-BP-2016</v>
      </c>
      <c r="E394" s="6" t="str">
        <f>IF(ISNA(VLOOKUP(A394,'SIR States'!$A:$A,1,FALSE)),"No","Yes")</f>
        <v>No</v>
      </c>
      <c r="H394" s="4" t="str">
        <f>VLOOKUP(D394,'25th May'!$D:$D,1,0)</f>
        <v>WB-GE-BP-2016</v>
      </c>
    </row>
    <row r="395">
      <c r="A395" s="5" t="s">
        <v>39</v>
      </c>
      <c r="B395" s="5" t="s">
        <v>22</v>
      </c>
      <c r="C395" s="5">
        <v>2013.0</v>
      </c>
      <c r="D395" s="5" t="str">
        <f t="shared" si="1"/>
        <v>WB-GE-BP-2013</v>
      </c>
      <c r="E395" s="6" t="str">
        <f>IF(ISNA(VLOOKUP(A395,'SIR States'!$A:$A,1,FALSE)),"No","Yes")</f>
        <v>No</v>
      </c>
      <c r="H395" s="4" t="str">
        <f>VLOOKUP(D395,'25th May'!$D:$D,1,0)</f>
        <v>WB-GE-BP-2013</v>
      </c>
    </row>
    <row r="396">
      <c r="A396" s="5" t="s">
        <v>39</v>
      </c>
      <c r="B396" s="5" t="s">
        <v>22</v>
      </c>
      <c r="C396" s="5">
        <v>2011.0</v>
      </c>
      <c r="D396" s="5" t="str">
        <f t="shared" si="1"/>
        <v>WB-GE-BP-2011</v>
      </c>
      <c r="E396" s="6" t="str">
        <f>IF(ISNA(VLOOKUP(A396,'SIR States'!$A:$A,1,FALSE)),"No","Yes")</f>
        <v>No</v>
      </c>
      <c r="H396" s="4" t="str">
        <f>VLOOKUP(D396,'25th May'!$D:$D,1,0)</f>
        <v>WB-GE-BP-2011</v>
      </c>
    </row>
  </sheetData>
  <conditionalFormatting sqref="E2:E396">
    <cfRule type="containsText" dxfId="0" priority="1" operator="containsText" text="Yes">
      <formula>NOT(ISERROR(SEARCH(("Yes"),(E2))))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63"/>
  </cols>
  <sheetData>
    <row r="1">
      <c r="K1" s="9">
        <v>46157.0</v>
      </c>
    </row>
    <row r="2">
      <c r="D2" s="11" t="s">
        <v>53</v>
      </c>
      <c r="K2" s="4" t="s">
        <v>0</v>
      </c>
      <c r="L2" s="4" t="s">
        <v>13</v>
      </c>
      <c r="M2" s="4" t="s">
        <v>21</v>
      </c>
    </row>
    <row r="3">
      <c r="K3" s="4" t="s">
        <v>20</v>
      </c>
      <c r="M3" s="4">
        <v>3.0</v>
      </c>
    </row>
    <row r="4">
      <c r="K4" s="4" t="s">
        <v>17</v>
      </c>
      <c r="L4" s="4">
        <v>3.0</v>
      </c>
      <c r="M4" s="4">
        <v>3.0</v>
      </c>
    </row>
    <row r="5">
      <c r="K5" s="4" t="s">
        <v>23</v>
      </c>
      <c r="L5" s="4">
        <v>4.0</v>
      </c>
      <c r="M5" s="4">
        <v>4.0</v>
      </c>
    </row>
    <row r="6">
      <c r="K6" s="4" t="s">
        <v>28</v>
      </c>
      <c r="L6" s="4">
        <v>1.0</v>
      </c>
    </row>
    <row r="7">
      <c r="K7" s="4" t="s">
        <v>24</v>
      </c>
      <c r="M7" s="4">
        <v>4.0</v>
      </c>
    </row>
    <row r="8">
      <c r="K8" s="4" t="s">
        <v>12</v>
      </c>
      <c r="L8" s="4">
        <v>2.0</v>
      </c>
      <c r="M8" s="4">
        <v>2.0</v>
      </c>
    </row>
    <row r="9">
      <c r="K9" s="4" t="s">
        <v>25</v>
      </c>
      <c r="M9" s="4">
        <v>4.0</v>
      </c>
    </row>
    <row r="10">
      <c r="K10" s="4" t="s">
        <v>27</v>
      </c>
      <c r="L10" s="4">
        <v>3.0</v>
      </c>
      <c r="M10" s="4">
        <v>4.0</v>
      </c>
    </row>
    <row r="11">
      <c r="K11" s="4" t="s">
        <v>30</v>
      </c>
      <c r="L11" s="4">
        <v>1.0</v>
      </c>
      <c r="M11" s="4">
        <v>1.0</v>
      </c>
    </row>
    <row r="12">
      <c r="K12" s="4" t="s">
        <v>14</v>
      </c>
      <c r="L12" s="4">
        <v>1.0</v>
      </c>
    </row>
    <row r="13">
      <c r="K13" s="4" t="s">
        <v>31</v>
      </c>
      <c r="M13" s="4">
        <v>3.0</v>
      </c>
    </row>
    <row r="14">
      <c r="K14" s="4" t="s">
        <v>32</v>
      </c>
      <c r="M14" s="4">
        <v>3.0</v>
      </c>
    </row>
    <row r="15">
      <c r="K15" s="4" t="s">
        <v>44</v>
      </c>
      <c r="L15" s="4">
        <v>2.0</v>
      </c>
    </row>
    <row r="16">
      <c r="K16" s="4" t="s">
        <v>33</v>
      </c>
      <c r="L16" s="4">
        <v>3.0</v>
      </c>
      <c r="M16" s="4">
        <v>4.0</v>
      </c>
    </row>
    <row r="17">
      <c r="K17" s="4" t="s">
        <v>34</v>
      </c>
      <c r="M17" s="4">
        <v>1.0</v>
      </c>
    </row>
    <row r="18">
      <c r="K18" s="4" t="s">
        <v>15</v>
      </c>
      <c r="L18" s="4">
        <v>4.0</v>
      </c>
      <c r="M18" s="4">
        <v>4.0</v>
      </c>
    </row>
    <row r="19">
      <c r="K19" s="4" t="s">
        <v>16</v>
      </c>
      <c r="L19" s="4">
        <v>4.0</v>
      </c>
      <c r="M19" s="4">
        <v>4.0</v>
      </c>
    </row>
    <row r="20">
      <c r="K20" s="4" t="s">
        <v>35</v>
      </c>
      <c r="L20" s="4">
        <v>3.0</v>
      </c>
      <c r="M20" s="4">
        <v>4.0</v>
      </c>
    </row>
    <row r="21">
      <c r="K21" s="4" t="s">
        <v>36</v>
      </c>
      <c r="L21" s="4">
        <v>4.0</v>
      </c>
      <c r="M21" s="4">
        <v>4.0</v>
      </c>
    </row>
    <row r="22">
      <c r="K22" s="4" t="s">
        <v>19</v>
      </c>
      <c r="L22" s="4">
        <v>4.0</v>
      </c>
      <c r="M22" s="4">
        <v>4.0</v>
      </c>
    </row>
    <row r="23">
      <c r="D23" s="4">
        <v>99.0</v>
      </c>
      <c r="K23" s="4" t="s">
        <v>38</v>
      </c>
      <c r="L23" s="4">
        <v>3.0</v>
      </c>
      <c r="M23" s="4">
        <v>4.0</v>
      </c>
    </row>
    <row r="24">
      <c r="A24" s="10"/>
      <c r="B24" s="10"/>
      <c r="C24" s="10"/>
      <c r="K24" s="4" t="s">
        <v>39</v>
      </c>
      <c r="L24" s="4">
        <v>2.0</v>
      </c>
    </row>
    <row r="25">
      <c r="A25" s="10"/>
      <c r="B25" s="10"/>
      <c r="C25" s="10"/>
      <c r="D25" s="4">
        <v>107.0</v>
      </c>
      <c r="K25" s="4" t="s">
        <v>54</v>
      </c>
      <c r="L25" s="4">
        <v>44.0</v>
      </c>
      <c r="M25" s="4">
        <v>60.0</v>
      </c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5" max="5" width="19.25"/>
  </cols>
  <sheetData>
    <row r="1">
      <c r="A1" s="12" t="s">
        <v>0</v>
      </c>
      <c r="B1" s="12" t="s">
        <v>55</v>
      </c>
      <c r="C1" s="12" t="s">
        <v>56</v>
      </c>
      <c r="D1" s="12" t="s">
        <v>57</v>
      </c>
      <c r="E1" s="12" t="s">
        <v>58</v>
      </c>
    </row>
    <row r="2">
      <c r="A2" s="13" t="s">
        <v>17</v>
      </c>
      <c r="B2" s="13" t="s">
        <v>13</v>
      </c>
      <c r="C2" s="13">
        <v>2024.0</v>
      </c>
      <c r="D2" s="14" t="s">
        <v>59</v>
      </c>
      <c r="E2" s="15"/>
    </row>
    <row r="3">
      <c r="A3" s="13" t="s">
        <v>41</v>
      </c>
      <c r="B3" s="13" t="s">
        <v>13</v>
      </c>
      <c r="C3" s="13">
        <v>2024.0</v>
      </c>
      <c r="D3" s="14" t="s">
        <v>59</v>
      </c>
      <c r="E3" s="15"/>
      <c r="N3" s="16" t="s">
        <v>60</v>
      </c>
      <c r="O3" s="17" t="s">
        <v>15</v>
      </c>
      <c r="P3" s="17">
        <v>2024.0</v>
      </c>
      <c r="Q3" s="17" t="s">
        <v>21</v>
      </c>
      <c r="R3" s="17" t="s">
        <v>61</v>
      </c>
    </row>
    <row r="4">
      <c r="A4" s="13" t="s">
        <v>40</v>
      </c>
      <c r="B4" s="13" t="s">
        <v>13</v>
      </c>
      <c r="C4" s="13">
        <v>2022.0</v>
      </c>
      <c r="D4" s="14" t="s">
        <v>59</v>
      </c>
      <c r="E4" s="15"/>
      <c r="O4" s="17" t="s">
        <v>62</v>
      </c>
      <c r="P4" s="18"/>
      <c r="Q4" s="18"/>
      <c r="R4" s="17" t="s">
        <v>63</v>
      </c>
    </row>
    <row r="5">
      <c r="A5" s="13" t="s">
        <v>14</v>
      </c>
      <c r="B5" s="13" t="s">
        <v>13</v>
      </c>
      <c r="C5" s="13">
        <v>2024.0</v>
      </c>
      <c r="D5" s="14" t="s">
        <v>59</v>
      </c>
      <c r="E5" s="13"/>
    </row>
    <row r="6">
      <c r="A6" s="13" t="s">
        <v>42</v>
      </c>
      <c r="B6" s="13" t="s">
        <v>13</v>
      </c>
      <c r="C6" s="13">
        <v>2023.0</v>
      </c>
      <c r="D6" s="14" t="s">
        <v>59</v>
      </c>
      <c r="E6" s="15"/>
    </row>
    <row r="7">
      <c r="A7" s="13" t="s">
        <v>44</v>
      </c>
      <c r="B7" s="13" t="s">
        <v>13</v>
      </c>
      <c r="C7" s="13">
        <v>2024.0</v>
      </c>
      <c r="D7" s="14" t="s">
        <v>59</v>
      </c>
      <c r="E7" s="15"/>
    </row>
    <row r="8">
      <c r="A8" s="13" t="s">
        <v>45</v>
      </c>
      <c r="B8" s="13" t="s">
        <v>13</v>
      </c>
      <c r="C8" s="13">
        <v>2024.0</v>
      </c>
      <c r="D8" s="14" t="s">
        <v>59</v>
      </c>
      <c r="E8" s="15"/>
    </row>
    <row r="9">
      <c r="A9" s="13" t="s">
        <v>46</v>
      </c>
      <c r="B9" s="13" t="s">
        <v>13</v>
      </c>
      <c r="C9" s="13">
        <v>2022.0</v>
      </c>
      <c r="D9" s="14" t="s">
        <v>59</v>
      </c>
      <c r="E9" s="15"/>
    </row>
    <row r="10">
      <c r="A10" s="13" t="s">
        <v>50</v>
      </c>
      <c r="B10" s="13" t="s">
        <v>13</v>
      </c>
      <c r="C10" s="13">
        <v>2022.0</v>
      </c>
      <c r="D10" s="14" t="s">
        <v>59</v>
      </c>
      <c r="E10" s="15"/>
    </row>
    <row r="11">
      <c r="A11" s="13" t="s">
        <v>17</v>
      </c>
      <c r="B11" s="13" t="s">
        <v>21</v>
      </c>
      <c r="C11" s="13">
        <v>2024.0</v>
      </c>
      <c r="D11" s="14" t="s">
        <v>59</v>
      </c>
      <c r="E11" s="15"/>
    </row>
    <row r="12">
      <c r="A12" s="13" t="s">
        <v>64</v>
      </c>
      <c r="B12" s="13" t="s">
        <v>21</v>
      </c>
      <c r="C12" s="13">
        <v>2024.0</v>
      </c>
      <c r="D12" s="14" t="s">
        <v>59</v>
      </c>
      <c r="E12" s="15"/>
    </row>
    <row r="13">
      <c r="A13" s="13" t="s">
        <v>41</v>
      </c>
      <c r="B13" s="13" t="s">
        <v>21</v>
      </c>
      <c r="C13" s="13">
        <v>2024.0</v>
      </c>
      <c r="D13" s="14" t="s">
        <v>59</v>
      </c>
      <c r="E13" s="15"/>
    </row>
    <row r="14">
      <c r="A14" s="13" t="s">
        <v>40</v>
      </c>
      <c r="B14" s="13" t="s">
        <v>21</v>
      </c>
      <c r="C14" s="13">
        <v>2024.0</v>
      </c>
      <c r="D14" s="14" t="s">
        <v>59</v>
      </c>
      <c r="E14" s="15"/>
    </row>
    <row r="15">
      <c r="A15" s="13" t="s">
        <v>14</v>
      </c>
      <c r="B15" s="13" t="s">
        <v>21</v>
      </c>
      <c r="C15" s="13">
        <v>2024.0</v>
      </c>
      <c r="D15" s="14" t="s">
        <v>59</v>
      </c>
      <c r="E15" s="15"/>
    </row>
    <row r="16">
      <c r="A16" s="13" t="s">
        <v>42</v>
      </c>
      <c r="B16" s="13" t="s">
        <v>21</v>
      </c>
      <c r="C16" s="13">
        <v>2024.0</v>
      </c>
      <c r="D16" s="14" t="s">
        <v>59</v>
      </c>
      <c r="E16" s="15"/>
    </row>
    <row r="17">
      <c r="A17" s="13" t="s">
        <v>31</v>
      </c>
      <c r="B17" s="13" t="s">
        <v>21</v>
      </c>
      <c r="C17" s="13">
        <v>2024.0</v>
      </c>
      <c r="D17" s="14" t="s">
        <v>59</v>
      </c>
      <c r="E17" s="13"/>
    </row>
    <row r="18">
      <c r="A18" s="13" t="s">
        <v>44</v>
      </c>
      <c r="B18" s="13" t="s">
        <v>21</v>
      </c>
      <c r="C18" s="13">
        <v>2024.0</v>
      </c>
      <c r="D18" s="14" t="s">
        <v>59</v>
      </c>
    </row>
    <row r="19">
      <c r="A19" s="13" t="s">
        <v>45</v>
      </c>
      <c r="B19" s="13" t="s">
        <v>21</v>
      </c>
      <c r="C19" s="13">
        <v>2024.0</v>
      </c>
      <c r="D19" s="14" t="s">
        <v>59</v>
      </c>
      <c r="E19" s="15"/>
    </row>
    <row r="20">
      <c r="A20" s="13" t="s">
        <v>46</v>
      </c>
      <c r="B20" s="13" t="s">
        <v>21</v>
      </c>
      <c r="C20" s="13">
        <v>2024.0</v>
      </c>
      <c r="D20" s="14" t="s">
        <v>59</v>
      </c>
      <c r="E20" s="15"/>
    </row>
    <row r="21">
      <c r="A21" s="13" t="s">
        <v>50</v>
      </c>
      <c r="B21" s="13" t="s">
        <v>21</v>
      </c>
      <c r="C21" s="13">
        <v>2024.0</v>
      </c>
      <c r="D21" s="14" t="s">
        <v>59</v>
      </c>
      <c r="E21" s="15"/>
    </row>
    <row r="22">
      <c r="A22" s="13" t="s">
        <v>30</v>
      </c>
      <c r="B22" s="13" t="s">
        <v>13</v>
      </c>
      <c r="C22" s="13">
        <v>2024.0</v>
      </c>
      <c r="D22" s="14" t="s">
        <v>59</v>
      </c>
      <c r="E22" s="15"/>
    </row>
    <row r="23">
      <c r="A23" s="13" t="s">
        <v>30</v>
      </c>
      <c r="B23" s="13" t="s">
        <v>21</v>
      </c>
      <c r="C23" s="13">
        <v>2024.0</v>
      </c>
      <c r="D23" s="14" t="s">
        <v>59</v>
      </c>
      <c r="E23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25"/>
  </cols>
  <sheetData>
    <row r="1">
      <c r="D1" s="2" t="s">
        <v>3</v>
      </c>
    </row>
    <row r="2">
      <c r="A2" s="2" t="s">
        <v>20</v>
      </c>
      <c r="B2" s="2" t="s">
        <v>21</v>
      </c>
      <c r="C2" s="2">
        <v>2009.0</v>
      </c>
      <c r="D2" s="4" t="str">
        <f t="shared" ref="D2:D435" si="1">CONCATENATE(A2,"-",B2,"-",C2)</f>
        <v>AN-GE-2009</v>
      </c>
    </row>
    <row r="3">
      <c r="A3" s="2" t="s">
        <v>20</v>
      </c>
      <c r="B3" s="2" t="s">
        <v>21</v>
      </c>
      <c r="C3" s="2">
        <v>2014.0</v>
      </c>
      <c r="D3" s="4" t="str">
        <f t="shared" si="1"/>
        <v>AN-GE-2014</v>
      </c>
    </row>
    <row r="4">
      <c r="A4" s="2" t="s">
        <v>20</v>
      </c>
      <c r="B4" s="2" t="s">
        <v>21</v>
      </c>
      <c r="C4" s="2">
        <v>2019.0</v>
      </c>
      <c r="D4" s="4" t="str">
        <f t="shared" si="1"/>
        <v>AN-GE-2019</v>
      </c>
    </row>
    <row r="5">
      <c r="A5" s="2" t="s">
        <v>17</v>
      </c>
      <c r="B5" s="2" t="s">
        <v>13</v>
      </c>
      <c r="C5" s="2">
        <v>2009.0</v>
      </c>
      <c r="D5" s="4" t="str">
        <f t="shared" si="1"/>
        <v>AP-AE-2009</v>
      </c>
    </row>
    <row r="6">
      <c r="A6" s="2" t="s">
        <v>17</v>
      </c>
      <c r="B6" s="2" t="s">
        <v>13</v>
      </c>
      <c r="C6" s="2">
        <v>2014.0</v>
      </c>
      <c r="D6" s="4" t="str">
        <f t="shared" si="1"/>
        <v>AP-AE-2014</v>
      </c>
    </row>
    <row r="7">
      <c r="A7" s="2" t="s">
        <v>17</v>
      </c>
      <c r="B7" s="2" t="s">
        <v>13</v>
      </c>
      <c r="C7" s="2">
        <v>2019.0</v>
      </c>
      <c r="D7" s="4" t="str">
        <f t="shared" si="1"/>
        <v>AP-AE-2019</v>
      </c>
    </row>
    <row r="8">
      <c r="A8" s="2" t="s">
        <v>17</v>
      </c>
      <c r="B8" s="2" t="s">
        <v>18</v>
      </c>
      <c r="C8" s="2">
        <v>2010.0</v>
      </c>
      <c r="D8" s="4" t="str">
        <f t="shared" si="1"/>
        <v>AP-AE-BP-2010</v>
      </c>
    </row>
    <row r="9">
      <c r="A9" s="2" t="s">
        <v>17</v>
      </c>
      <c r="B9" s="2" t="s">
        <v>18</v>
      </c>
      <c r="C9" s="2">
        <v>2011.0</v>
      </c>
      <c r="D9" s="4" t="str">
        <f t="shared" si="1"/>
        <v>AP-AE-BP-2011</v>
      </c>
    </row>
    <row r="10">
      <c r="A10" s="2" t="s">
        <v>17</v>
      </c>
      <c r="B10" s="2" t="s">
        <v>18</v>
      </c>
      <c r="C10" s="2">
        <v>2012.0</v>
      </c>
      <c r="D10" s="4" t="str">
        <f t="shared" si="1"/>
        <v>AP-AE-BP-2012</v>
      </c>
    </row>
    <row r="11">
      <c r="A11" s="2" t="s">
        <v>17</v>
      </c>
      <c r="B11" s="2" t="s">
        <v>18</v>
      </c>
      <c r="C11" s="2">
        <v>2014.0</v>
      </c>
      <c r="D11" s="4" t="str">
        <f t="shared" si="1"/>
        <v>AP-AE-BP-2014</v>
      </c>
    </row>
    <row r="12">
      <c r="A12" s="2" t="s">
        <v>17</v>
      </c>
      <c r="B12" s="2" t="s">
        <v>18</v>
      </c>
      <c r="C12" s="2">
        <v>2015.0</v>
      </c>
      <c r="D12" s="4" t="str">
        <f t="shared" si="1"/>
        <v>AP-AE-BP-2015</v>
      </c>
    </row>
    <row r="13">
      <c r="A13" s="2" t="s">
        <v>17</v>
      </c>
      <c r="B13" s="2" t="s">
        <v>18</v>
      </c>
      <c r="C13" s="2">
        <v>2017.0</v>
      </c>
      <c r="D13" s="4" t="str">
        <f t="shared" si="1"/>
        <v>AP-AE-BP-2017</v>
      </c>
    </row>
    <row r="14">
      <c r="A14" s="2" t="s">
        <v>17</v>
      </c>
      <c r="B14" s="2" t="s">
        <v>18</v>
      </c>
      <c r="C14" s="2">
        <v>2021.0</v>
      </c>
      <c r="D14" s="4" t="str">
        <f t="shared" si="1"/>
        <v>AP-AE-BP-2021</v>
      </c>
    </row>
    <row r="15">
      <c r="A15" s="2" t="s">
        <v>17</v>
      </c>
      <c r="B15" s="2" t="s">
        <v>18</v>
      </c>
      <c r="C15" s="2">
        <v>2022.0</v>
      </c>
      <c r="D15" s="4" t="str">
        <f t="shared" si="1"/>
        <v>AP-AE-BP-2022</v>
      </c>
    </row>
    <row r="16">
      <c r="A16" s="2" t="s">
        <v>17</v>
      </c>
      <c r="B16" s="2" t="s">
        <v>21</v>
      </c>
      <c r="C16" s="2">
        <v>2009.0</v>
      </c>
      <c r="D16" s="4" t="str">
        <f t="shared" si="1"/>
        <v>AP-GE-2009</v>
      </c>
    </row>
    <row r="17">
      <c r="A17" s="2" t="s">
        <v>17</v>
      </c>
      <c r="B17" s="2" t="s">
        <v>21</v>
      </c>
      <c r="C17" s="2">
        <v>2014.0</v>
      </c>
      <c r="D17" s="4" t="str">
        <f t="shared" si="1"/>
        <v>AP-GE-2014</v>
      </c>
    </row>
    <row r="18">
      <c r="A18" s="2" t="s">
        <v>17</v>
      </c>
      <c r="B18" s="2" t="s">
        <v>21</v>
      </c>
      <c r="C18" s="2">
        <v>2019.0</v>
      </c>
      <c r="D18" s="4" t="str">
        <f t="shared" si="1"/>
        <v>AP-GE-2019</v>
      </c>
    </row>
    <row r="19">
      <c r="A19" s="2" t="s">
        <v>17</v>
      </c>
      <c r="B19" s="2" t="s">
        <v>22</v>
      </c>
      <c r="C19" s="2">
        <v>2011.0</v>
      </c>
      <c r="D19" s="4" t="str">
        <f t="shared" si="1"/>
        <v>AP-GE-BP-2011</v>
      </c>
    </row>
    <row r="20">
      <c r="A20" s="2" t="s">
        <v>17</v>
      </c>
      <c r="B20" s="2" t="s">
        <v>22</v>
      </c>
      <c r="C20" s="2">
        <v>2012.0</v>
      </c>
      <c r="D20" s="4" t="str">
        <f t="shared" si="1"/>
        <v>AP-GE-BP-2012</v>
      </c>
    </row>
    <row r="21">
      <c r="A21" s="2" t="s">
        <v>17</v>
      </c>
      <c r="B21" s="2" t="s">
        <v>22</v>
      </c>
      <c r="C21" s="2">
        <v>2021.0</v>
      </c>
      <c r="D21" s="4" t="str">
        <f t="shared" si="1"/>
        <v>AP-GE-BP-2021</v>
      </c>
    </row>
    <row r="22">
      <c r="A22" s="2" t="s">
        <v>23</v>
      </c>
      <c r="B22" s="2" t="s">
        <v>13</v>
      </c>
      <c r="C22" s="2">
        <v>2009.0</v>
      </c>
      <c r="D22" s="4" t="str">
        <f t="shared" si="1"/>
        <v>AR-AE-2009</v>
      </c>
    </row>
    <row r="23">
      <c r="A23" s="2" t="s">
        <v>23</v>
      </c>
      <c r="B23" s="2" t="s">
        <v>13</v>
      </c>
      <c r="C23" s="2">
        <v>2014.0</v>
      </c>
      <c r="D23" s="4" t="str">
        <f t="shared" si="1"/>
        <v>AR-AE-2014</v>
      </c>
    </row>
    <row r="24">
      <c r="A24" s="2" t="s">
        <v>23</v>
      </c>
      <c r="B24" s="2" t="s">
        <v>13</v>
      </c>
      <c r="C24" s="2">
        <v>2019.0</v>
      </c>
      <c r="D24" s="4" t="str">
        <f t="shared" si="1"/>
        <v>AR-AE-2019</v>
      </c>
    </row>
    <row r="25">
      <c r="A25" s="2" t="s">
        <v>23</v>
      </c>
      <c r="B25" s="2" t="s">
        <v>13</v>
      </c>
      <c r="C25" s="2">
        <v>2024.0</v>
      </c>
      <c r="D25" s="4" t="str">
        <f t="shared" si="1"/>
        <v>AR-AE-2024</v>
      </c>
    </row>
    <row r="26">
      <c r="A26" s="2" t="s">
        <v>23</v>
      </c>
      <c r="B26" s="2" t="s">
        <v>18</v>
      </c>
      <c r="C26" s="2">
        <v>2011.0</v>
      </c>
      <c r="D26" s="4" t="str">
        <f t="shared" si="1"/>
        <v>AR-AE-BP-2011</v>
      </c>
    </row>
    <row r="27">
      <c r="A27" s="2" t="s">
        <v>23</v>
      </c>
      <c r="B27" s="2" t="s">
        <v>18</v>
      </c>
      <c r="C27" s="2">
        <v>2013.0</v>
      </c>
      <c r="D27" s="4" t="str">
        <f t="shared" si="1"/>
        <v>AR-AE-BP-2013</v>
      </c>
    </row>
    <row r="28">
      <c r="A28" s="2" t="s">
        <v>23</v>
      </c>
      <c r="B28" s="2" t="s">
        <v>18</v>
      </c>
      <c r="C28" s="2">
        <v>2014.0</v>
      </c>
      <c r="D28" s="4" t="str">
        <f t="shared" si="1"/>
        <v>AR-AE-BP-2014</v>
      </c>
    </row>
    <row r="29">
      <c r="A29" s="2" t="s">
        <v>23</v>
      </c>
      <c r="B29" s="2" t="s">
        <v>18</v>
      </c>
      <c r="C29" s="2">
        <v>2016.0</v>
      </c>
      <c r="D29" s="4" t="str">
        <f t="shared" si="1"/>
        <v>AR-AE-BP-2016</v>
      </c>
    </row>
    <row r="30">
      <c r="A30" s="2" t="s">
        <v>23</v>
      </c>
      <c r="B30" s="2" t="s">
        <v>18</v>
      </c>
      <c r="C30" s="2">
        <v>2017.0</v>
      </c>
      <c r="D30" s="4" t="str">
        <f t="shared" si="1"/>
        <v>AR-AE-BP-2017</v>
      </c>
    </row>
    <row r="31">
      <c r="A31" s="2" t="s">
        <v>23</v>
      </c>
      <c r="B31" s="2" t="s">
        <v>18</v>
      </c>
      <c r="C31" s="2">
        <v>2019.0</v>
      </c>
      <c r="D31" s="4" t="str">
        <f t="shared" si="1"/>
        <v>AR-AE-BP-2019</v>
      </c>
    </row>
    <row r="32">
      <c r="A32" s="2" t="s">
        <v>23</v>
      </c>
      <c r="B32" s="2" t="s">
        <v>18</v>
      </c>
      <c r="C32" s="2">
        <v>2023.0</v>
      </c>
      <c r="D32" s="4" t="str">
        <f t="shared" si="1"/>
        <v>AR-AE-BP-2023</v>
      </c>
    </row>
    <row r="33">
      <c r="A33" s="2" t="s">
        <v>23</v>
      </c>
      <c r="B33" s="2" t="s">
        <v>21</v>
      </c>
      <c r="C33" s="2">
        <v>2009.0</v>
      </c>
      <c r="D33" s="4" t="str">
        <f t="shared" si="1"/>
        <v>AR-GE-2009</v>
      </c>
    </row>
    <row r="34">
      <c r="A34" s="2" t="s">
        <v>23</v>
      </c>
      <c r="B34" s="2" t="s">
        <v>21</v>
      </c>
      <c r="C34" s="2">
        <v>2014.0</v>
      </c>
      <c r="D34" s="4" t="str">
        <f t="shared" si="1"/>
        <v>AR-GE-2014</v>
      </c>
    </row>
    <row r="35">
      <c r="A35" s="2" t="s">
        <v>23</v>
      </c>
      <c r="B35" s="2" t="s">
        <v>21</v>
      </c>
      <c r="C35" s="2">
        <v>2019.0</v>
      </c>
      <c r="D35" s="4" t="str">
        <f t="shared" si="1"/>
        <v>AR-GE-2019</v>
      </c>
    </row>
    <row r="36">
      <c r="A36" s="2" t="s">
        <v>23</v>
      </c>
      <c r="B36" s="2" t="s">
        <v>21</v>
      </c>
      <c r="C36" s="2">
        <v>2024.0</v>
      </c>
      <c r="D36" s="4" t="str">
        <f t="shared" si="1"/>
        <v>AR-GE-2024</v>
      </c>
    </row>
    <row r="37">
      <c r="A37" s="2" t="s">
        <v>26</v>
      </c>
      <c r="B37" s="2" t="s">
        <v>18</v>
      </c>
      <c r="C37" s="2">
        <v>2009.0</v>
      </c>
      <c r="D37" s="4" t="str">
        <f t="shared" si="1"/>
        <v>AS-AE-BP-2009</v>
      </c>
    </row>
    <row r="38">
      <c r="A38" s="2" t="s">
        <v>26</v>
      </c>
      <c r="B38" s="2" t="s">
        <v>18</v>
      </c>
      <c r="C38" s="2">
        <v>2013.0</v>
      </c>
      <c r="D38" s="4" t="str">
        <f t="shared" si="1"/>
        <v>AS-AE-BP-2013</v>
      </c>
    </row>
    <row r="39">
      <c r="A39" s="2" t="s">
        <v>26</v>
      </c>
      <c r="B39" s="2" t="s">
        <v>18</v>
      </c>
      <c r="C39" s="2">
        <v>2014.0</v>
      </c>
      <c r="D39" s="4" t="str">
        <f t="shared" si="1"/>
        <v>AS-AE-BP-2014</v>
      </c>
    </row>
    <row r="40">
      <c r="A40" s="2" t="s">
        <v>26</v>
      </c>
      <c r="B40" s="2" t="s">
        <v>18</v>
      </c>
      <c r="C40" s="2">
        <v>2016.0</v>
      </c>
      <c r="D40" s="4" t="str">
        <f t="shared" si="1"/>
        <v>AS-AE-BP-2016</v>
      </c>
    </row>
    <row r="41">
      <c r="A41" s="2" t="s">
        <v>26</v>
      </c>
      <c r="B41" s="2" t="s">
        <v>18</v>
      </c>
      <c r="C41" s="2">
        <v>2017.0</v>
      </c>
      <c r="D41" s="4" t="str">
        <f t="shared" si="1"/>
        <v>AS-AE-BP-2017</v>
      </c>
    </row>
    <row r="42">
      <c r="A42" s="2" t="s">
        <v>26</v>
      </c>
      <c r="B42" s="2" t="s">
        <v>18</v>
      </c>
      <c r="C42" s="2">
        <v>2019.0</v>
      </c>
      <c r="D42" s="4" t="str">
        <f t="shared" si="1"/>
        <v>AS-AE-BP-2019</v>
      </c>
    </row>
    <row r="43">
      <c r="A43" s="2" t="s">
        <v>26</v>
      </c>
      <c r="B43" s="2" t="s">
        <v>18</v>
      </c>
      <c r="C43" s="2">
        <v>2021.0</v>
      </c>
      <c r="D43" s="4" t="str">
        <f t="shared" si="1"/>
        <v>AS-AE-BP-2021</v>
      </c>
    </row>
    <row r="44">
      <c r="A44" s="2" t="s">
        <v>26</v>
      </c>
      <c r="B44" s="2" t="s">
        <v>18</v>
      </c>
      <c r="C44" s="2">
        <v>2022.0</v>
      </c>
      <c r="D44" s="4" t="str">
        <f t="shared" si="1"/>
        <v>AS-AE-BP-2022</v>
      </c>
    </row>
    <row r="45">
      <c r="A45" s="2" t="s">
        <v>26</v>
      </c>
      <c r="B45" s="2" t="s">
        <v>18</v>
      </c>
      <c r="C45" s="2">
        <v>2024.0</v>
      </c>
      <c r="D45" s="4" t="str">
        <f t="shared" si="1"/>
        <v>AS-AE-BP-2024</v>
      </c>
    </row>
    <row r="46">
      <c r="A46" s="2" t="s">
        <v>26</v>
      </c>
      <c r="B46" s="2" t="s">
        <v>22</v>
      </c>
      <c r="C46" s="2">
        <v>2016.0</v>
      </c>
      <c r="D46" s="4" t="str">
        <f t="shared" si="1"/>
        <v>AS-GE-BP-2016</v>
      </c>
    </row>
    <row r="47">
      <c r="A47" s="2" t="s">
        <v>28</v>
      </c>
      <c r="B47" s="2" t="s">
        <v>18</v>
      </c>
      <c r="C47" s="2">
        <v>2013.0</v>
      </c>
      <c r="D47" s="4" t="str">
        <f t="shared" si="1"/>
        <v>BR-AE-BP-2013</v>
      </c>
    </row>
    <row r="48">
      <c r="A48" s="2" t="s">
        <v>28</v>
      </c>
      <c r="B48" s="2" t="s">
        <v>18</v>
      </c>
      <c r="C48" s="2">
        <v>2014.0</v>
      </c>
      <c r="D48" s="4" t="str">
        <f t="shared" si="1"/>
        <v>BR-AE-BP-2014</v>
      </c>
    </row>
    <row r="49">
      <c r="A49" s="2" t="s">
        <v>28</v>
      </c>
      <c r="B49" s="2" t="s">
        <v>18</v>
      </c>
      <c r="C49" s="2">
        <v>2016.0</v>
      </c>
      <c r="D49" s="4" t="str">
        <f t="shared" si="1"/>
        <v>BR-AE-BP-2016</v>
      </c>
    </row>
    <row r="50">
      <c r="A50" s="2" t="s">
        <v>28</v>
      </c>
      <c r="B50" s="2" t="s">
        <v>18</v>
      </c>
      <c r="C50" s="2">
        <v>2017.0</v>
      </c>
      <c r="D50" s="4" t="str">
        <f t="shared" si="1"/>
        <v>BR-AE-BP-2017</v>
      </c>
    </row>
    <row r="51">
      <c r="A51" s="2" t="s">
        <v>28</v>
      </c>
      <c r="B51" s="2" t="s">
        <v>18</v>
      </c>
      <c r="C51" s="2">
        <v>2018.0</v>
      </c>
      <c r="D51" s="4" t="str">
        <f t="shared" si="1"/>
        <v>BR-AE-BP-2018</v>
      </c>
    </row>
    <row r="52">
      <c r="A52" s="2" t="s">
        <v>28</v>
      </c>
      <c r="B52" s="2" t="s">
        <v>18</v>
      </c>
      <c r="C52" s="2">
        <v>2019.0</v>
      </c>
      <c r="D52" s="4" t="str">
        <f t="shared" si="1"/>
        <v>BR-AE-BP-2019</v>
      </c>
    </row>
    <row r="53">
      <c r="A53" s="2" t="s">
        <v>28</v>
      </c>
      <c r="B53" s="2" t="s">
        <v>18</v>
      </c>
      <c r="C53" s="2">
        <v>2021.0</v>
      </c>
      <c r="D53" s="4" t="str">
        <f t="shared" si="1"/>
        <v>BR-AE-BP-2021</v>
      </c>
    </row>
    <row r="54">
      <c r="A54" s="2" t="s">
        <v>28</v>
      </c>
      <c r="B54" s="2" t="s">
        <v>18</v>
      </c>
      <c r="C54" s="2">
        <v>2022.0</v>
      </c>
      <c r="D54" s="4" t="str">
        <f t="shared" si="1"/>
        <v>BR-AE-BP-2022</v>
      </c>
    </row>
    <row r="55">
      <c r="A55" s="2" t="s">
        <v>28</v>
      </c>
      <c r="B55" s="2" t="s">
        <v>18</v>
      </c>
      <c r="C55" s="2">
        <v>2024.0</v>
      </c>
      <c r="D55" s="4" t="str">
        <f t="shared" si="1"/>
        <v>BR-AE-BP-2024</v>
      </c>
    </row>
    <row r="56">
      <c r="A56" s="2" t="s">
        <v>28</v>
      </c>
      <c r="B56" s="2" t="s">
        <v>22</v>
      </c>
      <c r="C56" s="2">
        <v>2010.0</v>
      </c>
      <c r="D56" s="4" t="str">
        <f t="shared" si="1"/>
        <v>BR-GE-BP-2010</v>
      </c>
    </row>
    <row r="57">
      <c r="A57" s="2" t="s">
        <v>28</v>
      </c>
      <c r="B57" s="2" t="s">
        <v>22</v>
      </c>
      <c r="C57" s="2">
        <v>2013.0</v>
      </c>
      <c r="D57" s="4" t="str">
        <f t="shared" si="1"/>
        <v>BR-GE-BP-2013</v>
      </c>
    </row>
    <row r="58">
      <c r="A58" s="2" t="s">
        <v>28</v>
      </c>
      <c r="B58" s="2" t="s">
        <v>22</v>
      </c>
      <c r="C58" s="2">
        <v>2018.0</v>
      </c>
      <c r="D58" s="4" t="str">
        <f t="shared" si="1"/>
        <v>BR-GE-BP-2018</v>
      </c>
    </row>
    <row r="59">
      <c r="A59" s="2" t="s">
        <v>28</v>
      </c>
      <c r="B59" s="2" t="s">
        <v>22</v>
      </c>
      <c r="C59" s="2">
        <v>2019.0</v>
      </c>
      <c r="D59" s="4" t="str">
        <f t="shared" si="1"/>
        <v>BR-GE-BP-2019</v>
      </c>
    </row>
    <row r="60">
      <c r="A60" s="2" t="s">
        <v>28</v>
      </c>
      <c r="B60" s="2" t="s">
        <v>22</v>
      </c>
      <c r="C60" s="2">
        <v>2020.0</v>
      </c>
      <c r="D60" s="4" t="str">
        <f t="shared" si="1"/>
        <v>BR-GE-BP-2020</v>
      </c>
    </row>
    <row r="61">
      <c r="A61" s="2" t="s">
        <v>29</v>
      </c>
      <c r="B61" s="2" t="s">
        <v>18</v>
      </c>
      <c r="C61" s="2">
        <v>2009.0</v>
      </c>
      <c r="D61" s="4" t="str">
        <f t="shared" si="1"/>
        <v>CT-AE-BP-2009</v>
      </c>
    </row>
    <row r="62">
      <c r="A62" s="2" t="s">
        <v>29</v>
      </c>
      <c r="B62" s="2" t="s">
        <v>18</v>
      </c>
      <c r="C62" s="2">
        <v>2010.0</v>
      </c>
      <c r="D62" s="4" t="str">
        <f t="shared" si="1"/>
        <v>CT-AE-BP-2010</v>
      </c>
    </row>
    <row r="63">
      <c r="A63" s="2" t="s">
        <v>29</v>
      </c>
      <c r="B63" s="2" t="s">
        <v>18</v>
      </c>
      <c r="C63" s="2">
        <v>2011.0</v>
      </c>
      <c r="D63" s="4" t="str">
        <f t="shared" si="1"/>
        <v>CT-AE-BP-2011</v>
      </c>
    </row>
    <row r="64">
      <c r="A64" s="2" t="s">
        <v>29</v>
      </c>
      <c r="B64" s="2" t="s">
        <v>18</v>
      </c>
      <c r="C64" s="2">
        <v>2014.0</v>
      </c>
      <c r="D64" s="4" t="str">
        <f t="shared" si="1"/>
        <v>CT-AE-BP-2014</v>
      </c>
    </row>
    <row r="65">
      <c r="A65" s="2" t="s">
        <v>29</v>
      </c>
      <c r="B65" s="2" t="s">
        <v>18</v>
      </c>
      <c r="C65" s="2">
        <v>2019.0</v>
      </c>
      <c r="D65" s="4" t="str">
        <f t="shared" si="1"/>
        <v>CT-AE-BP-2019</v>
      </c>
    </row>
    <row r="66">
      <c r="A66" s="2" t="s">
        <v>29</v>
      </c>
      <c r="B66" s="2" t="s">
        <v>18</v>
      </c>
      <c r="C66" s="2">
        <v>2020.0</v>
      </c>
      <c r="D66" s="4" t="str">
        <f t="shared" si="1"/>
        <v>CT-AE-BP-2020</v>
      </c>
    </row>
    <row r="67">
      <c r="A67" s="2" t="s">
        <v>29</v>
      </c>
      <c r="B67" s="2" t="s">
        <v>18</v>
      </c>
      <c r="C67" s="2">
        <v>2022.0</v>
      </c>
      <c r="D67" s="4" t="str">
        <f t="shared" si="1"/>
        <v>CT-AE-BP-2022</v>
      </c>
    </row>
    <row r="68">
      <c r="A68" s="2" t="s">
        <v>29</v>
      </c>
      <c r="B68" s="2" t="s">
        <v>18</v>
      </c>
      <c r="C68" s="2">
        <v>2024.0</v>
      </c>
      <c r="D68" s="4" t="str">
        <f t="shared" si="1"/>
        <v>CT-AE-BP-2024</v>
      </c>
    </row>
    <row r="69">
      <c r="A69" s="2" t="s">
        <v>24</v>
      </c>
      <c r="B69" s="2" t="s">
        <v>21</v>
      </c>
      <c r="C69" s="2">
        <v>2009.0</v>
      </c>
      <c r="D69" s="4" t="str">
        <f t="shared" si="1"/>
        <v>DD-GE-2009</v>
      </c>
    </row>
    <row r="70">
      <c r="A70" s="2" t="s">
        <v>24</v>
      </c>
      <c r="B70" s="2" t="s">
        <v>21</v>
      </c>
      <c r="C70" s="2">
        <v>2014.0</v>
      </c>
      <c r="D70" s="4" t="str">
        <f t="shared" si="1"/>
        <v>DD-GE-2014</v>
      </c>
    </row>
    <row r="71">
      <c r="A71" s="2" t="s">
        <v>24</v>
      </c>
      <c r="B71" s="2" t="s">
        <v>21</v>
      </c>
      <c r="C71" s="2">
        <v>2019.0</v>
      </c>
      <c r="D71" s="4" t="str">
        <f t="shared" si="1"/>
        <v>DD-GE-2019</v>
      </c>
    </row>
    <row r="72">
      <c r="A72" s="2" t="s">
        <v>24</v>
      </c>
      <c r="B72" s="2" t="s">
        <v>21</v>
      </c>
      <c r="C72" s="2">
        <v>2024.0</v>
      </c>
      <c r="D72" s="4" t="str">
        <f t="shared" si="1"/>
        <v>DD-GE-2024</v>
      </c>
    </row>
    <row r="73">
      <c r="A73" s="2" t="s">
        <v>12</v>
      </c>
      <c r="B73" s="2" t="s">
        <v>13</v>
      </c>
      <c r="C73" s="2">
        <v>2008.0</v>
      </c>
      <c r="D73" s="4" t="str">
        <f t="shared" si="1"/>
        <v>DL-AE-2008</v>
      </c>
    </row>
    <row r="74">
      <c r="A74" s="2" t="s">
        <v>12</v>
      </c>
      <c r="B74" s="2" t="s">
        <v>13</v>
      </c>
      <c r="C74" s="2">
        <v>2025.0</v>
      </c>
      <c r="D74" s="4" t="str">
        <f t="shared" si="1"/>
        <v>DL-AE-2025</v>
      </c>
    </row>
    <row r="75">
      <c r="A75" s="2" t="s">
        <v>12</v>
      </c>
      <c r="B75" s="2" t="s">
        <v>18</v>
      </c>
      <c r="C75" s="2">
        <v>2009.0</v>
      </c>
      <c r="D75" s="4" t="str">
        <f t="shared" si="1"/>
        <v>DL-AE-BP-2009</v>
      </c>
    </row>
    <row r="76">
      <c r="A76" s="2" t="s">
        <v>12</v>
      </c>
      <c r="B76" s="2" t="s">
        <v>18</v>
      </c>
      <c r="C76" s="2">
        <v>2017.0</v>
      </c>
      <c r="D76" s="4" t="str">
        <f t="shared" si="1"/>
        <v>DL-AE-BP-2017</v>
      </c>
    </row>
    <row r="77">
      <c r="A77" s="2" t="s">
        <v>12</v>
      </c>
      <c r="B77" s="2" t="s">
        <v>18</v>
      </c>
      <c r="C77" s="2">
        <v>2022.0</v>
      </c>
      <c r="D77" s="4" t="str">
        <f t="shared" si="1"/>
        <v>DL-AE-BP-2022</v>
      </c>
    </row>
    <row r="78">
      <c r="A78" s="2" t="s">
        <v>12</v>
      </c>
      <c r="B78" s="2" t="s">
        <v>21</v>
      </c>
      <c r="C78" s="2">
        <v>2009.0</v>
      </c>
      <c r="D78" s="4" t="str">
        <f t="shared" si="1"/>
        <v>DL-GE-2009</v>
      </c>
    </row>
    <row r="79">
      <c r="A79" s="2" t="s">
        <v>12</v>
      </c>
      <c r="B79" s="2" t="s">
        <v>21</v>
      </c>
      <c r="C79" s="2">
        <v>2024.0</v>
      </c>
      <c r="D79" s="4" t="str">
        <f t="shared" si="1"/>
        <v>DL-GE-2024</v>
      </c>
    </row>
    <row r="80">
      <c r="A80" s="2" t="s">
        <v>25</v>
      </c>
      <c r="B80" s="2" t="s">
        <v>21</v>
      </c>
      <c r="C80" s="2">
        <v>2009.0</v>
      </c>
      <c r="D80" s="4" t="str">
        <f t="shared" si="1"/>
        <v>DN-GE-2009</v>
      </c>
    </row>
    <row r="81">
      <c r="A81" s="2" t="s">
        <v>25</v>
      </c>
      <c r="B81" s="2" t="s">
        <v>21</v>
      </c>
      <c r="C81" s="2">
        <v>2014.0</v>
      </c>
      <c r="D81" s="4" t="str">
        <f t="shared" si="1"/>
        <v>DN-GE-2014</v>
      </c>
    </row>
    <row r="82">
      <c r="A82" s="2" t="s">
        <v>25</v>
      </c>
      <c r="B82" s="2" t="s">
        <v>21</v>
      </c>
      <c r="C82" s="2">
        <v>2019.0</v>
      </c>
      <c r="D82" s="4" t="str">
        <f t="shared" si="1"/>
        <v>DN-GE-2019</v>
      </c>
    </row>
    <row r="83">
      <c r="A83" s="2" t="s">
        <v>25</v>
      </c>
      <c r="B83" s="2" t="s">
        <v>21</v>
      </c>
      <c r="C83" s="2">
        <v>2024.0</v>
      </c>
      <c r="D83" s="4" t="str">
        <f t="shared" si="1"/>
        <v>DN-GE-2024</v>
      </c>
    </row>
    <row r="84">
      <c r="A84" s="2" t="s">
        <v>25</v>
      </c>
      <c r="B84" s="2" t="s">
        <v>22</v>
      </c>
      <c r="C84" s="2">
        <v>2021.0</v>
      </c>
      <c r="D84" s="4" t="str">
        <f t="shared" si="1"/>
        <v>DN-GE-BP-2021</v>
      </c>
    </row>
    <row r="85">
      <c r="A85" s="2" t="s">
        <v>37</v>
      </c>
      <c r="B85" s="2" t="s">
        <v>18</v>
      </c>
      <c r="C85" s="2">
        <v>2012.0</v>
      </c>
      <c r="D85" s="4" t="str">
        <f t="shared" si="1"/>
        <v>GA-AE-BP-2012</v>
      </c>
    </row>
    <row r="86">
      <c r="A86" s="2" t="s">
        <v>37</v>
      </c>
      <c r="B86" s="2" t="s">
        <v>18</v>
      </c>
      <c r="C86" s="2">
        <v>2015.0</v>
      </c>
      <c r="D86" s="4" t="str">
        <f t="shared" si="1"/>
        <v>GA-AE-BP-2015</v>
      </c>
    </row>
    <row r="87">
      <c r="A87" s="2" t="s">
        <v>37</v>
      </c>
      <c r="B87" s="2" t="s">
        <v>18</v>
      </c>
      <c r="C87" s="2">
        <v>2017.0</v>
      </c>
      <c r="D87" s="4" t="str">
        <f t="shared" si="1"/>
        <v>GA-AE-BP-2017</v>
      </c>
    </row>
    <row r="88">
      <c r="A88" s="2" t="s">
        <v>37</v>
      </c>
      <c r="B88" s="2" t="s">
        <v>18</v>
      </c>
      <c r="C88" s="2">
        <v>2019.0</v>
      </c>
      <c r="D88" s="4" t="str">
        <f t="shared" si="1"/>
        <v>GA-AE-BP-2019</v>
      </c>
    </row>
    <row r="89">
      <c r="A89" s="2" t="s">
        <v>37</v>
      </c>
      <c r="B89" s="2" t="s">
        <v>18</v>
      </c>
      <c r="C89" s="2">
        <v>2022.0</v>
      </c>
      <c r="D89" s="4" t="str">
        <f t="shared" si="1"/>
        <v>GA-AE-BP-2022</v>
      </c>
    </row>
    <row r="90">
      <c r="A90" s="2" t="s">
        <v>27</v>
      </c>
      <c r="B90" s="2" t="s">
        <v>13</v>
      </c>
      <c r="C90" s="2">
        <v>2012.0</v>
      </c>
      <c r="D90" s="4" t="str">
        <f t="shared" si="1"/>
        <v>GJ-AE-2012</v>
      </c>
    </row>
    <row r="91">
      <c r="A91" s="2" t="s">
        <v>27</v>
      </c>
      <c r="B91" s="2" t="s">
        <v>13</v>
      </c>
      <c r="C91" s="2">
        <v>2017.0</v>
      </c>
      <c r="D91" s="4" t="str">
        <f t="shared" si="1"/>
        <v>GJ-AE-2017</v>
      </c>
    </row>
    <row r="92">
      <c r="A92" s="2" t="s">
        <v>27</v>
      </c>
      <c r="B92" s="2" t="s">
        <v>13</v>
      </c>
      <c r="C92" s="2">
        <v>2022.0</v>
      </c>
      <c r="D92" s="4" t="str">
        <f t="shared" si="1"/>
        <v>GJ-AE-2022</v>
      </c>
    </row>
    <row r="93">
      <c r="A93" s="2" t="s">
        <v>27</v>
      </c>
      <c r="B93" s="2" t="s">
        <v>18</v>
      </c>
      <c r="C93" s="2">
        <v>2009.0</v>
      </c>
      <c r="D93" s="4" t="str">
        <f t="shared" si="1"/>
        <v>GJ-AE-BP-2009</v>
      </c>
    </row>
    <row r="94">
      <c r="A94" s="2" t="s">
        <v>27</v>
      </c>
      <c r="B94" s="2" t="s">
        <v>18</v>
      </c>
      <c r="C94" s="2">
        <v>2010.0</v>
      </c>
      <c r="D94" s="4" t="str">
        <f t="shared" si="1"/>
        <v>GJ-AE-BP-2010</v>
      </c>
    </row>
    <row r="95">
      <c r="A95" s="2" t="s">
        <v>27</v>
      </c>
      <c r="B95" s="2" t="s">
        <v>18</v>
      </c>
      <c r="C95" s="2">
        <v>2011.0</v>
      </c>
      <c r="D95" s="4" t="str">
        <f t="shared" si="1"/>
        <v>GJ-AE-BP-2011</v>
      </c>
    </row>
    <row r="96">
      <c r="A96" s="2" t="s">
        <v>27</v>
      </c>
      <c r="B96" s="2" t="s">
        <v>18</v>
      </c>
      <c r="C96" s="2">
        <v>2012.0</v>
      </c>
      <c r="D96" s="4" t="str">
        <f t="shared" si="1"/>
        <v>GJ-AE-BP-2012</v>
      </c>
    </row>
    <row r="97">
      <c r="A97" s="2" t="s">
        <v>27</v>
      </c>
      <c r="B97" s="2" t="s">
        <v>18</v>
      </c>
      <c r="C97" s="2">
        <v>2013.0</v>
      </c>
      <c r="D97" s="4" t="str">
        <f t="shared" si="1"/>
        <v>GJ-AE-BP-2013</v>
      </c>
    </row>
    <row r="98">
      <c r="A98" s="2" t="s">
        <v>27</v>
      </c>
      <c r="B98" s="2" t="s">
        <v>18</v>
      </c>
      <c r="C98" s="2">
        <v>2014.0</v>
      </c>
      <c r="D98" s="4" t="str">
        <f t="shared" si="1"/>
        <v>GJ-AE-BP-2014</v>
      </c>
    </row>
    <row r="99">
      <c r="A99" s="2" t="s">
        <v>27</v>
      </c>
      <c r="B99" s="2" t="s">
        <v>18</v>
      </c>
      <c r="C99" s="2">
        <v>2016.0</v>
      </c>
      <c r="D99" s="4" t="str">
        <f t="shared" si="1"/>
        <v>GJ-AE-BP-2016</v>
      </c>
    </row>
    <row r="100">
      <c r="A100" s="2" t="s">
        <v>27</v>
      </c>
      <c r="B100" s="2" t="s">
        <v>18</v>
      </c>
      <c r="C100" s="2">
        <v>2018.0</v>
      </c>
      <c r="D100" s="4" t="str">
        <f t="shared" si="1"/>
        <v>GJ-AE-BP-2018</v>
      </c>
    </row>
    <row r="101">
      <c r="A101" s="2" t="s">
        <v>27</v>
      </c>
      <c r="B101" s="2" t="s">
        <v>18</v>
      </c>
      <c r="C101" s="2">
        <v>2019.0</v>
      </c>
      <c r="D101" s="4" t="str">
        <f t="shared" si="1"/>
        <v>GJ-AE-BP-2019</v>
      </c>
    </row>
    <row r="102">
      <c r="A102" s="2" t="s">
        <v>27</v>
      </c>
      <c r="B102" s="2" t="s">
        <v>18</v>
      </c>
      <c r="C102" s="2">
        <v>2020.0</v>
      </c>
      <c r="D102" s="4" t="str">
        <f t="shared" si="1"/>
        <v>GJ-AE-BP-2020</v>
      </c>
    </row>
    <row r="103">
      <c r="A103" s="2" t="s">
        <v>27</v>
      </c>
      <c r="B103" s="2" t="s">
        <v>18</v>
      </c>
      <c r="C103" s="2">
        <v>2021.0</v>
      </c>
      <c r="D103" s="4" t="str">
        <f t="shared" si="1"/>
        <v>GJ-AE-BP-2021</v>
      </c>
    </row>
    <row r="104">
      <c r="A104" s="2" t="s">
        <v>27</v>
      </c>
      <c r="B104" s="2" t="s">
        <v>18</v>
      </c>
      <c r="C104" s="2">
        <v>2024.0</v>
      </c>
      <c r="D104" s="4" t="str">
        <f t="shared" si="1"/>
        <v>GJ-AE-BP-2024</v>
      </c>
    </row>
    <row r="105">
      <c r="A105" s="2" t="s">
        <v>27</v>
      </c>
      <c r="B105" s="2" t="s">
        <v>18</v>
      </c>
      <c r="C105" s="2">
        <v>2025.0</v>
      </c>
      <c r="D105" s="4" t="str">
        <f t="shared" si="1"/>
        <v>GJ-AE-BP-2025</v>
      </c>
    </row>
    <row r="106">
      <c r="A106" s="2" t="s">
        <v>27</v>
      </c>
      <c r="B106" s="2" t="s">
        <v>21</v>
      </c>
      <c r="C106" s="2">
        <v>2009.0</v>
      </c>
      <c r="D106" s="4" t="str">
        <f t="shared" si="1"/>
        <v>GJ-GE-2009</v>
      </c>
    </row>
    <row r="107">
      <c r="A107" s="2" t="s">
        <v>27</v>
      </c>
      <c r="B107" s="2" t="s">
        <v>21</v>
      </c>
      <c r="C107" s="2">
        <v>2014.0</v>
      </c>
      <c r="D107" s="4" t="str">
        <f t="shared" si="1"/>
        <v>GJ-GE-2014</v>
      </c>
    </row>
    <row r="108">
      <c r="A108" s="2" t="s">
        <v>27</v>
      </c>
      <c r="B108" s="2" t="s">
        <v>21</v>
      </c>
      <c r="C108" s="2">
        <v>2019.0</v>
      </c>
      <c r="D108" s="4" t="str">
        <f t="shared" si="1"/>
        <v>GJ-GE-2019</v>
      </c>
    </row>
    <row r="109">
      <c r="A109" s="2" t="s">
        <v>27</v>
      </c>
      <c r="B109" s="2" t="s">
        <v>21</v>
      </c>
      <c r="C109" s="2">
        <v>2024.0</v>
      </c>
      <c r="D109" s="4" t="str">
        <f t="shared" si="1"/>
        <v>GJ-GE-2024</v>
      </c>
    </row>
    <row r="110">
      <c r="A110" s="2" t="s">
        <v>27</v>
      </c>
      <c r="B110" s="2" t="s">
        <v>22</v>
      </c>
      <c r="C110" s="2">
        <v>2013.0</v>
      </c>
      <c r="D110" s="4" t="str">
        <f t="shared" si="1"/>
        <v>GJ-GE-BP-2013</v>
      </c>
    </row>
    <row r="111">
      <c r="A111" s="2" t="s">
        <v>27</v>
      </c>
      <c r="B111" s="2" t="s">
        <v>22</v>
      </c>
      <c r="C111" s="2">
        <v>2014.0</v>
      </c>
      <c r="D111" s="4" t="str">
        <f t="shared" si="1"/>
        <v>GJ-GE-BP-2014</v>
      </c>
    </row>
    <row r="112">
      <c r="A112" s="2" t="s">
        <v>40</v>
      </c>
      <c r="B112" s="2" t="s">
        <v>18</v>
      </c>
      <c r="C112" s="2">
        <v>2011.0</v>
      </c>
      <c r="D112" s="4" t="str">
        <f t="shared" si="1"/>
        <v>HP-AE-BP-2011</v>
      </c>
    </row>
    <row r="113">
      <c r="A113" s="2" t="s">
        <v>40</v>
      </c>
      <c r="B113" s="2" t="s">
        <v>18</v>
      </c>
      <c r="C113" s="2">
        <v>2014.0</v>
      </c>
      <c r="D113" s="4" t="str">
        <f t="shared" si="1"/>
        <v>HP-AE-BP-2014</v>
      </c>
    </row>
    <row r="114">
      <c r="A114" s="2" t="s">
        <v>40</v>
      </c>
      <c r="B114" s="2" t="s">
        <v>18</v>
      </c>
      <c r="C114" s="2">
        <v>2017.0</v>
      </c>
      <c r="D114" s="4" t="str">
        <f t="shared" si="1"/>
        <v>HP-AE-BP-2017</v>
      </c>
    </row>
    <row r="115">
      <c r="A115" s="2" t="s">
        <v>40</v>
      </c>
      <c r="B115" s="2" t="s">
        <v>18</v>
      </c>
      <c r="C115" s="2">
        <v>2019.0</v>
      </c>
      <c r="D115" s="4" t="str">
        <f t="shared" si="1"/>
        <v>HP-AE-BP-2019</v>
      </c>
    </row>
    <row r="116">
      <c r="A116" s="2" t="s">
        <v>40</v>
      </c>
      <c r="B116" s="2" t="s">
        <v>18</v>
      </c>
      <c r="C116" s="2">
        <v>2021.0</v>
      </c>
      <c r="D116" s="4" t="str">
        <f t="shared" si="1"/>
        <v>HP-AE-BP-2021</v>
      </c>
    </row>
    <row r="117">
      <c r="A117" s="2" t="s">
        <v>40</v>
      </c>
      <c r="B117" s="2" t="s">
        <v>18</v>
      </c>
      <c r="C117" s="2">
        <v>2024.0</v>
      </c>
      <c r="D117" s="4" t="str">
        <f t="shared" si="1"/>
        <v>HP-AE-BP-2024</v>
      </c>
    </row>
    <row r="118">
      <c r="A118" s="2" t="s">
        <v>40</v>
      </c>
      <c r="B118" s="2" t="s">
        <v>22</v>
      </c>
      <c r="C118" s="2">
        <v>2013.0</v>
      </c>
      <c r="D118" s="4" t="str">
        <f t="shared" si="1"/>
        <v>HP-GE-BP-2013</v>
      </c>
    </row>
    <row r="119">
      <c r="A119" s="2" t="s">
        <v>40</v>
      </c>
      <c r="B119" s="2" t="s">
        <v>22</v>
      </c>
      <c r="C119" s="2">
        <v>2021.0</v>
      </c>
      <c r="D119" s="4" t="str">
        <f t="shared" si="1"/>
        <v>HP-GE-BP-2021</v>
      </c>
    </row>
    <row r="120">
      <c r="A120" s="2" t="s">
        <v>41</v>
      </c>
      <c r="B120" s="2" t="s">
        <v>18</v>
      </c>
      <c r="C120" s="2">
        <v>2010.0</v>
      </c>
      <c r="D120" s="4" t="str">
        <f t="shared" si="1"/>
        <v>HR-AE-BP-2010</v>
      </c>
    </row>
    <row r="121">
      <c r="A121" s="2" t="s">
        <v>41</v>
      </c>
      <c r="B121" s="2" t="s">
        <v>18</v>
      </c>
      <c r="C121" s="2">
        <v>2011.0</v>
      </c>
      <c r="D121" s="4" t="str">
        <f t="shared" si="1"/>
        <v>HR-AE-BP-2011</v>
      </c>
    </row>
    <row r="122">
      <c r="A122" s="2" t="s">
        <v>41</v>
      </c>
      <c r="B122" s="2" t="s">
        <v>18</v>
      </c>
      <c r="C122" s="2">
        <v>2019.0</v>
      </c>
      <c r="D122" s="4" t="str">
        <f t="shared" si="1"/>
        <v>HR-AE-BP-2019</v>
      </c>
    </row>
    <row r="123">
      <c r="A123" s="2" t="s">
        <v>41</v>
      </c>
      <c r="B123" s="2" t="s">
        <v>18</v>
      </c>
      <c r="C123" s="2">
        <v>2020.0</v>
      </c>
      <c r="D123" s="4" t="str">
        <f t="shared" si="1"/>
        <v>HR-AE-BP-2020</v>
      </c>
    </row>
    <row r="124">
      <c r="A124" s="2" t="s">
        <v>41</v>
      </c>
      <c r="B124" s="2" t="s">
        <v>18</v>
      </c>
      <c r="C124" s="2">
        <v>2021.0</v>
      </c>
      <c r="D124" s="4" t="str">
        <f t="shared" si="1"/>
        <v>HR-AE-BP-2021</v>
      </c>
    </row>
    <row r="125">
      <c r="A125" s="2" t="s">
        <v>41</v>
      </c>
      <c r="B125" s="2" t="s">
        <v>18</v>
      </c>
      <c r="C125" s="2">
        <v>2022.0</v>
      </c>
      <c r="D125" s="4" t="str">
        <f t="shared" si="1"/>
        <v>HR-AE-BP-2022</v>
      </c>
    </row>
    <row r="126">
      <c r="A126" s="2" t="s">
        <v>41</v>
      </c>
      <c r="B126" s="2" t="s">
        <v>18</v>
      </c>
      <c r="C126" s="2">
        <v>2024.0</v>
      </c>
      <c r="D126" s="4" t="str">
        <f t="shared" si="1"/>
        <v>HR-AE-BP-2024</v>
      </c>
    </row>
    <row r="127">
      <c r="A127" s="2" t="s">
        <v>41</v>
      </c>
      <c r="B127" s="2" t="s">
        <v>22</v>
      </c>
      <c r="C127" s="2">
        <v>2011.0</v>
      </c>
      <c r="D127" s="4" t="str">
        <f t="shared" si="1"/>
        <v>HR-GE-BP-2011</v>
      </c>
    </row>
    <row r="128">
      <c r="A128" s="2" t="s">
        <v>30</v>
      </c>
      <c r="B128" s="2" t="s">
        <v>13</v>
      </c>
      <c r="C128" s="2">
        <v>2009.0</v>
      </c>
      <c r="D128" s="4" t="str">
        <f t="shared" si="1"/>
        <v>JH-AE-2009</v>
      </c>
    </row>
    <row r="129">
      <c r="A129" s="2" t="s">
        <v>30</v>
      </c>
      <c r="B129" s="2" t="s">
        <v>18</v>
      </c>
      <c r="C129" s="2">
        <v>2009.0</v>
      </c>
      <c r="D129" s="4" t="str">
        <f t="shared" si="1"/>
        <v>JH-AE-BP-2009</v>
      </c>
    </row>
    <row r="130">
      <c r="A130" s="2" t="s">
        <v>30</v>
      </c>
      <c r="B130" s="2" t="s">
        <v>18</v>
      </c>
      <c r="C130" s="2">
        <v>2010.0</v>
      </c>
      <c r="D130" s="4" t="str">
        <f t="shared" si="1"/>
        <v>JH-AE-BP-2010</v>
      </c>
    </row>
    <row r="131">
      <c r="A131" s="2" t="s">
        <v>30</v>
      </c>
      <c r="B131" s="2" t="s">
        <v>18</v>
      </c>
      <c r="C131" s="2">
        <v>2011.0</v>
      </c>
      <c r="D131" s="4" t="str">
        <f t="shared" si="1"/>
        <v>JH-AE-BP-2011</v>
      </c>
    </row>
    <row r="132">
      <c r="A132" s="2" t="s">
        <v>30</v>
      </c>
      <c r="B132" s="2" t="s">
        <v>18</v>
      </c>
      <c r="C132" s="2">
        <v>2012.0</v>
      </c>
      <c r="D132" s="4" t="str">
        <f t="shared" si="1"/>
        <v>JH-AE-BP-2012</v>
      </c>
    </row>
    <row r="133">
      <c r="A133" s="2" t="s">
        <v>30</v>
      </c>
      <c r="B133" s="2" t="s">
        <v>18</v>
      </c>
      <c r="C133" s="2">
        <v>2015.0</v>
      </c>
      <c r="D133" s="4" t="str">
        <f t="shared" si="1"/>
        <v>JH-AE-BP-2015</v>
      </c>
    </row>
    <row r="134">
      <c r="A134" s="2" t="s">
        <v>30</v>
      </c>
      <c r="B134" s="2" t="s">
        <v>18</v>
      </c>
      <c r="C134" s="2">
        <v>2016.0</v>
      </c>
      <c r="D134" s="4" t="str">
        <f t="shared" si="1"/>
        <v>JH-AE-BP-2016</v>
      </c>
    </row>
    <row r="135">
      <c r="A135" s="2" t="s">
        <v>30</v>
      </c>
      <c r="B135" s="2" t="s">
        <v>18</v>
      </c>
      <c r="C135" s="2">
        <v>2017.0</v>
      </c>
      <c r="D135" s="4" t="str">
        <f t="shared" si="1"/>
        <v>JH-AE-BP-2017</v>
      </c>
    </row>
    <row r="136">
      <c r="A136" s="2" t="s">
        <v>30</v>
      </c>
      <c r="B136" s="2" t="s">
        <v>18</v>
      </c>
      <c r="C136" s="2">
        <v>2018.0</v>
      </c>
      <c r="D136" s="4" t="str">
        <f t="shared" si="1"/>
        <v>JH-AE-BP-2018</v>
      </c>
    </row>
    <row r="137">
      <c r="A137" s="2" t="s">
        <v>30</v>
      </c>
      <c r="B137" s="2" t="s">
        <v>18</v>
      </c>
      <c r="C137" s="2">
        <v>2020.0</v>
      </c>
      <c r="D137" s="4" t="str">
        <f t="shared" si="1"/>
        <v>JH-AE-BP-2020</v>
      </c>
    </row>
    <row r="138">
      <c r="A138" s="2" t="s">
        <v>30</v>
      </c>
      <c r="B138" s="2" t="s">
        <v>18</v>
      </c>
      <c r="C138" s="2">
        <v>2021.0</v>
      </c>
      <c r="D138" s="4" t="str">
        <f t="shared" si="1"/>
        <v>JH-AE-BP-2021</v>
      </c>
    </row>
    <row r="139">
      <c r="A139" s="2" t="s">
        <v>30</v>
      </c>
      <c r="B139" s="2" t="s">
        <v>18</v>
      </c>
      <c r="C139" s="2">
        <v>2022.0</v>
      </c>
      <c r="D139" s="4" t="str">
        <f t="shared" si="1"/>
        <v>JH-AE-BP-2022</v>
      </c>
    </row>
    <row r="140">
      <c r="A140" s="2" t="s">
        <v>30</v>
      </c>
      <c r="B140" s="2" t="s">
        <v>18</v>
      </c>
      <c r="C140" s="2">
        <v>2023.0</v>
      </c>
      <c r="D140" s="4" t="str">
        <f t="shared" si="1"/>
        <v>JH-AE-BP-2023</v>
      </c>
    </row>
    <row r="141">
      <c r="A141" s="2" t="s">
        <v>30</v>
      </c>
      <c r="B141" s="2" t="s">
        <v>18</v>
      </c>
      <c r="C141" s="2">
        <v>2024.0</v>
      </c>
      <c r="D141" s="4" t="str">
        <f t="shared" si="1"/>
        <v>JH-AE-BP-2024</v>
      </c>
    </row>
    <row r="142">
      <c r="A142" s="2" t="s">
        <v>30</v>
      </c>
      <c r="B142" s="2" t="s">
        <v>21</v>
      </c>
      <c r="C142" s="2">
        <v>2009.0</v>
      </c>
      <c r="D142" s="4" t="str">
        <f t="shared" si="1"/>
        <v>JH-GE-2009</v>
      </c>
    </row>
    <row r="143">
      <c r="A143" s="2" t="s">
        <v>30</v>
      </c>
      <c r="B143" s="2" t="s">
        <v>22</v>
      </c>
      <c r="C143" s="2">
        <v>2011.0</v>
      </c>
      <c r="D143" s="4" t="str">
        <f t="shared" si="1"/>
        <v>JH-GE-BP-2011</v>
      </c>
    </row>
    <row r="144">
      <c r="A144" s="2" t="s">
        <v>14</v>
      </c>
      <c r="B144" s="2" t="s">
        <v>13</v>
      </c>
      <c r="C144" s="2">
        <v>2008.0</v>
      </c>
      <c r="D144" s="4" t="str">
        <f t="shared" si="1"/>
        <v>JK-AE-2008</v>
      </c>
    </row>
    <row r="145">
      <c r="A145" s="2" t="s">
        <v>14</v>
      </c>
      <c r="B145" s="2" t="s">
        <v>18</v>
      </c>
      <c r="C145" s="2">
        <v>2009.0</v>
      </c>
      <c r="D145" s="4" t="str">
        <f t="shared" si="1"/>
        <v>JK-AE-BP-2009</v>
      </c>
    </row>
    <row r="146">
      <c r="A146" s="2" t="s">
        <v>42</v>
      </c>
      <c r="B146" s="2" t="s">
        <v>18</v>
      </c>
      <c r="C146" s="2">
        <v>2009.0</v>
      </c>
      <c r="D146" s="4" t="str">
        <f t="shared" si="1"/>
        <v>KA-AE-BP-2009</v>
      </c>
    </row>
    <row r="147">
      <c r="A147" s="2" t="s">
        <v>42</v>
      </c>
      <c r="B147" s="2" t="s">
        <v>18</v>
      </c>
      <c r="C147" s="2">
        <v>2010.0</v>
      </c>
      <c r="D147" s="4" t="str">
        <f t="shared" si="1"/>
        <v>KA-AE-BP-2010</v>
      </c>
    </row>
    <row r="148">
      <c r="A148" s="2" t="s">
        <v>42</v>
      </c>
      <c r="B148" s="2" t="s">
        <v>18</v>
      </c>
      <c r="C148" s="2">
        <v>2011.0</v>
      </c>
      <c r="D148" s="4" t="str">
        <f t="shared" si="1"/>
        <v>KA-AE-BP-2011</v>
      </c>
    </row>
    <row r="149">
      <c r="A149" s="2" t="s">
        <v>42</v>
      </c>
      <c r="B149" s="2" t="s">
        <v>18</v>
      </c>
      <c r="C149" s="2">
        <v>2014.0</v>
      </c>
      <c r="D149" s="4" t="str">
        <f t="shared" si="1"/>
        <v>KA-AE-BP-2014</v>
      </c>
    </row>
    <row r="150">
      <c r="A150" s="2" t="s">
        <v>42</v>
      </c>
      <c r="B150" s="2" t="s">
        <v>18</v>
      </c>
      <c r="C150" s="2">
        <v>2016.0</v>
      </c>
      <c r="D150" s="4" t="str">
        <f t="shared" si="1"/>
        <v>KA-AE-BP-2016</v>
      </c>
    </row>
    <row r="151">
      <c r="A151" s="2" t="s">
        <v>42</v>
      </c>
      <c r="B151" s="2" t="s">
        <v>18</v>
      </c>
      <c r="C151" s="2">
        <v>2017.0</v>
      </c>
      <c r="D151" s="4" t="str">
        <f t="shared" si="1"/>
        <v>KA-AE-BP-2017</v>
      </c>
    </row>
    <row r="152">
      <c r="A152" s="2" t="s">
        <v>42</v>
      </c>
      <c r="B152" s="2" t="s">
        <v>18</v>
      </c>
      <c r="C152" s="2">
        <v>2018.0</v>
      </c>
      <c r="D152" s="4" t="str">
        <f t="shared" si="1"/>
        <v>KA-AE-BP-2018</v>
      </c>
    </row>
    <row r="153">
      <c r="A153" s="2" t="s">
        <v>42</v>
      </c>
      <c r="B153" s="2" t="s">
        <v>18</v>
      </c>
      <c r="C153" s="2">
        <v>2019.0</v>
      </c>
      <c r="D153" s="4" t="str">
        <f t="shared" si="1"/>
        <v>KA-AE-BP-2019</v>
      </c>
    </row>
    <row r="154">
      <c r="A154" s="2" t="s">
        <v>42</v>
      </c>
      <c r="B154" s="2" t="s">
        <v>18</v>
      </c>
      <c r="C154" s="2">
        <v>2020.0</v>
      </c>
      <c r="D154" s="4" t="str">
        <f t="shared" si="1"/>
        <v>KA-AE-BP-2020</v>
      </c>
    </row>
    <row r="155">
      <c r="A155" s="2" t="s">
        <v>42</v>
      </c>
      <c r="B155" s="2" t="s">
        <v>18</v>
      </c>
      <c r="C155" s="2">
        <v>2021.0</v>
      </c>
      <c r="D155" s="4" t="str">
        <f t="shared" si="1"/>
        <v>KA-AE-BP-2021</v>
      </c>
    </row>
    <row r="156">
      <c r="A156" s="2" t="s">
        <v>42</v>
      </c>
      <c r="B156" s="2" t="s">
        <v>18</v>
      </c>
      <c r="C156" s="2">
        <v>2024.0</v>
      </c>
      <c r="D156" s="4" t="str">
        <f t="shared" si="1"/>
        <v>KA-AE-BP-2024</v>
      </c>
    </row>
    <row r="157">
      <c r="A157" s="2" t="s">
        <v>42</v>
      </c>
      <c r="B157" s="2" t="s">
        <v>22</v>
      </c>
      <c r="C157" s="2">
        <v>2012.0</v>
      </c>
      <c r="D157" s="4" t="str">
        <f t="shared" si="1"/>
        <v>KA-GE-BP-2012</v>
      </c>
    </row>
    <row r="158">
      <c r="A158" s="2" t="s">
        <v>42</v>
      </c>
      <c r="B158" s="2" t="s">
        <v>22</v>
      </c>
      <c r="C158" s="2">
        <v>2013.0</v>
      </c>
      <c r="D158" s="4" t="str">
        <f t="shared" si="1"/>
        <v>KA-GE-BP-2013</v>
      </c>
    </row>
    <row r="159">
      <c r="A159" s="2" t="s">
        <v>42</v>
      </c>
      <c r="B159" s="2" t="s">
        <v>22</v>
      </c>
      <c r="C159" s="2">
        <v>2018.0</v>
      </c>
      <c r="D159" s="4" t="str">
        <f t="shared" si="1"/>
        <v>KA-GE-BP-2018</v>
      </c>
    </row>
    <row r="160">
      <c r="A160" s="2" t="s">
        <v>42</v>
      </c>
      <c r="B160" s="2" t="s">
        <v>22</v>
      </c>
      <c r="C160" s="2">
        <v>2021.0</v>
      </c>
      <c r="D160" s="4" t="str">
        <f t="shared" si="1"/>
        <v>KA-GE-BP-2021</v>
      </c>
    </row>
    <row r="161">
      <c r="A161" s="2" t="s">
        <v>43</v>
      </c>
      <c r="B161" s="2" t="s">
        <v>18</v>
      </c>
      <c r="C161" s="2">
        <v>2009.0</v>
      </c>
      <c r="D161" s="4" t="str">
        <f t="shared" si="1"/>
        <v>KL-AE-BP-2009</v>
      </c>
    </row>
    <row r="162">
      <c r="A162" s="2" t="s">
        <v>43</v>
      </c>
      <c r="B162" s="2" t="s">
        <v>18</v>
      </c>
      <c r="C162" s="2">
        <v>2012.0</v>
      </c>
      <c r="D162" s="4" t="str">
        <f t="shared" si="1"/>
        <v>KL-AE-BP-2012</v>
      </c>
    </row>
    <row r="163">
      <c r="A163" s="2" t="s">
        <v>43</v>
      </c>
      <c r="B163" s="2" t="s">
        <v>18</v>
      </c>
      <c r="C163" s="2">
        <v>2015.0</v>
      </c>
      <c r="D163" s="4" t="str">
        <f t="shared" si="1"/>
        <v>KL-AE-BP-2015</v>
      </c>
    </row>
    <row r="164">
      <c r="A164" s="2" t="s">
        <v>43</v>
      </c>
      <c r="B164" s="2" t="s">
        <v>18</v>
      </c>
      <c r="C164" s="2">
        <v>2017.0</v>
      </c>
      <c r="D164" s="4" t="str">
        <f t="shared" si="1"/>
        <v>KL-AE-BP-2017</v>
      </c>
    </row>
    <row r="165">
      <c r="A165" s="2" t="s">
        <v>43</v>
      </c>
      <c r="B165" s="2" t="s">
        <v>18</v>
      </c>
      <c r="C165" s="2">
        <v>2018.0</v>
      </c>
      <c r="D165" s="4" t="str">
        <f t="shared" si="1"/>
        <v>KL-AE-BP-2018</v>
      </c>
    </row>
    <row r="166">
      <c r="A166" s="2" t="s">
        <v>43</v>
      </c>
      <c r="B166" s="2" t="s">
        <v>18</v>
      </c>
      <c r="C166" s="2">
        <v>2019.0</v>
      </c>
      <c r="D166" s="4" t="str">
        <f t="shared" si="1"/>
        <v>KL-AE-BP-2019</v>
      </c>
    </row>
    <row r="167">
      <c r="A167" s="2" t="s">
        <v>43</v>
      </c>
      <c r="B167" s="2" t="s">
        <v>18</v>
      </c>
      <c r="C167" s="2">
        <v>2021.0</v>
      </c>
      <c r="D167" s="4" t="str">
        <f t="shared" si="1"/>
        <v>KL-AE-BP-2021</v>
      </c>
    </row>
    <row r="168">
      <c r="A168" s="2" t="s">
        <v>43</v>
      </c>
      <c r="B168" s="2" t="s">
        <v>18</v>
      </c>
      <c r="C168" s="2">
        <v>2024.0</v>
      </c>
      <c r="D168" s="4" t="str">
        <f t="shared" si="1"/>
        <v>KL-AE-BP-2024</v>
      </c>
    </row>
    <row r="169">
      <c r="A169" s="2" t="s">
        <v>43</v>
      </c>
      <c r="B169" s="2" t="s">
        <v>18</v>
      </c>
      <c r="C169" s="2">
        <v>2025.0</v>
      </c>
      <c r="D169" s="4" t="str">
        <f t="shared" si="1"/>
        <v>KL-AE-BP-2025</v>
      </c>
    </row>
    <row r="170">
      <c r="A170" s="2" t="s">
        <v>31</v>
      </c>
      <c r="B170" s="2" t="s">
        <v>21</v>
      </c>
      <c r="C170" s="2">
        <v>2009.0</v>
      </c>
      <c r="D170" s="4" t="str">
        <f t="shared" si="1"/>
        <v>LA-GE-2009</v>
      </c>
    </row>
    <row r="171">
      <c r="A171" s="2" t="s">
        <v>31</v>
      </c>
      <c r="B171" s="2" t="s">
        <v>21</v>
      </c>
      <c r="C171" s="2">
        <v>2014.0</v>
      </c>
      <c r="D171" s="4" t="str">
        <f t="shared" si="1"/>
        <v>LA-GE-2014</v>
      </c>
    </row>
    <row r="172">
      <c r="A172" s="2" t="s">
        <v>31</v>
      </c>
      <c r="B172" s="2" t="s">
        <v>21</v>
      </c>
      <c r="C172" s="2">
        <v>2019.0</v>
      </c>
      <c r="D172" s="4" t="str">
        <f t="shared" si="1"/>
        <v>LA-GE-2019</v>
      </c>
    </row>
    <row r="173">
      <c r="A173" s="2" t="s">
        <v>32</v>
      </c>
      <c r="B173" s="2" t="s">
        <v>21</v>
      </c>
      <c r="C173" s="2">
        <v>2009.0</v>
      </c>
      <c r="D173" s="4" t="str">
        <f t="shared" si="1"/>
        <v>LD-GE-2009</v>
      </c>
    </row>
    <row r="174">
      <c r="A174" s="2" t="s">
        <v>32</v>
      </c>
      <c r="B174" s="2" t="s">
        <v>21</v>
      </c>
      <c r="C174" s="2">
        <v>2014.0</v>
      </c>
      <c r="D174" s="4" t="str">
        <f t="shared" si="1"/>
        <v>LD-GE-2014</v>
      </c>
    </row>
    <row r="175">
      <c r="A175" s="2" t="s">
        <v>32</v>
      </c>
      <c r="B175" s="2" t="s">
        <v>21</v>
      </c>
      <c r="C175" s="2">
        <v>2019.0</v>
      </c>
      <c r="D175" s="4" t="str">
        <f t="shared" si="1"/>
        <v>LD-GE-2019</v>
      </c>
    </row>
    <row r="176">
      <c r="A176" s="2" t="s">
        <v>32</v>
      </c>
      <c r="B176" s="2" t="s">
        <v>22</v>
      </c>
      <c r="C176" s="2">
        <v>2023.0</v>
      </c>
      <c r="D176" s="4" t="str">
        <f t="shared" si="1"/>
        <v>LD-GE-BP-2023</v>
      </c>
    </row>
    <row r="177">
      <c r="A177" s="2" t="s">
        <v>44</v>
      </c>
      <c r="B177" s="2" t="s">
        <v>18</v>
      </c>
      <c r="C177" s="2">
        <v>2010.0</v>
      </c>
      <c r="D177" s="4" t="str">
        <f t="shared" si="1"/>
        <v>MH-AE-BP-2010</v>
      </c>
    </row>
    <row r="178">
      <c r="A178" s="2" t="s">
        <v>44</v>
      </c>
      <c r="B178" s="2" t="s">
        <v>18</v>
      </c>
      <c r="C178" s="2">
        <v>2011.0</v>
      </c>
      <c r="D178" s="4" t="str">
        <f t="shared" si="1"/>
        <v>MH-AE-BP-2011</v>
      </c>
    </row>
    <row r="179">
      <c r="A179" s="2" t="s">
        <v>44</v>
      </c>
      <c r="B179" s="2" t="s">
        <v>18</v>
      </c>
      <c r="C179" s="2">
        <v>2012.0</v>
      </c>
      <c r="D179" s="4" t="str">
        <f t="shared" si="1"/>
        <v>MH-AE-BP-2012</v>
      </c>
    </row>
    <row r="180">
      <c r="A180" s="2" t="s">
        <v>44</v>
      </c>
      <c r="B180" s="2" t="s">
        <v>18</v>
      </c>
      <c r="C180" s="2">
        <v>2015.0</v>
      </c>
      <c r="D180" s="4" t="str">
        <f t="shared" si="1"/>
        <v>MH-AE-BP-2015</v>
      </c>
    </row>
    <row r="181">
      <c r="A181" s="2" t="s">
        <v>44</v>
      </c>
      <c r="B181" s="2" t="s">
        <v>18</v>
      </c>
      <c r="C181" s="2">
        <v>2016.0</v>
      </c>
      <c r="D181" s="4" t="str">
        <f t="shared" si="1"/>
        <v>MH-AE-BP-2016</v>
      </c>
    </row>
    <row r="182">
      <c r="A182" s="2" t="s">
        <v>44</v>
      </c>
      <c r="B182" s="2" t="s">
        <v>18</v>
      </c>
      <c r="C182" s="2">
        <v>2018.0</v>
      </c>
      <c r="D182" s="4" t="str">
        <f t="shared" si="1"/>
        <v>MH-AE-BP-2018</v>
      </c>
    </row>
    <row r="183">
      <c r="A183" s="2" t="s">
        <v>44</v>
      </c>
      <c r="B183" s="2" t="s">
        <v>18</v>
      </c>
      <c r="C183" s="2">
        <v>2021.0</v>
      </c>
      <c r="D183" s="4" t="str">
        <f t="shared" si="1"/>
        <v>MH-AE-BP-2021</v>
      </c>
    </row>
    <row r="184">
      <c r="A184" s="2" t="s">
        <v>44</v>
      </c>
      <c r="B184" s="2" t="s">
        <v>18</v>
      </c>
      <c r="C184" s="2">
        <v>2022.0</v>
      </c>
      <c r="D184" s="4" t="str">
        <f t="shared" si="1"/>
        <v>MH-AE-BP-2022</v>
      </c>
    </row>
    <row r="185">
      <c r="A185" s="2" t="s">
        <v>44</v>
      </c>
      <c r="B185" s="2" t="s">
        <v>18</v>
      </c>
      <c r="C185" s="2">
        <v>2023.0</v>
      </c>
      <c r="D185" s="4" t="str">
        <f t="shared" si="1"/>
        <v>MH-AE-BP-2023</v>
      </c>
    </row>
    <row r="186">
      <c r="A186" s="2" t="s">
        <v>44</v>
      </c>
      <c r="B186" s="2" t="s">
        <v>22</v>
      </c>
      <c r="C186" s="2">
        <v>2014.0</v>
      </c>
      <c r="D186" s="4" t="str">
        <f t="shared" si="1"/>
        <v>MH-GE-BP-2014</v>
      </c>
    </row>
    <row r="187">
      <c r="A187" s="2" t="s">
        <v>44</v>
      </c>
      <c r="B187" s="2" t="s">
        <v>22</v>
      </c>
      <c r="C187" s="2">
        <v>2018.0</v>
      </c>
      <c r="D187" s="4" t="str">
        <f t="shared" si="1"/>
        <v>MH-GE-BP-2018</v>
      </c>
    </row>
    <row r="188">
      <c r="A188" s="2" t="s">
        <v>44</v>
      </c>
      <c r="B188" s="2" t="s">
        <v>22</v>
      </c>
      <c r="C188" s="2">
        <v>2019.0</v>
      </c>
      <c r="D188" s="4" t="str">
        <f t="shared" si="1"/>
        <v>MH-GE-BP-2019</v>
      </c>
    </row>
    <row r="189">
      <c r="A189" s="2" t="s">
        <v>44</v>
      </c>
      <c r="B189" s="2" t="s">
        <v>22</v>
      </c>
      <c r="C189" s="2">
        <v>2024.0</v>
      </c>
      <c r="D189" s="4" t="str">
        <f t="shared" si="1"/>
        <v>MH-GE-BP-2024</v>
      </c>
    </row>
    <row r="190">
      <c r="A190" s="2" t="s">
        <v>33</v>
      </c>
      <c r="B190" s="2" t="s">
        <v>13</v>
      </c>
      <c r="C190" s="2">
        <v>2013.0</v>
      </c>
      <c r="D190" s="4" t="str">
        <f t="shared" si="1"/>
        <v>ML-AE-2013</v>
      </c>
    </row>
    <row r="191">
      <c r="A191" s="2" t="s">
        <v>33</v>
      </c>
      <c r="B191" s="2" t="s">
        <v>13</v>
      </c>
      <c r="C191" s="2">
        <v>2018.0</v>
      </c>
      <c r="D191" s="4" t="str">
        <f t="shared" si="1"/>
        <v>ML-AE-2018</v>
      </c>
    </row>
    <row r="192">
      <c r="A192" s="2" t="s">
        <v>33</v>
      </c>
      <c r="B192" s="2" t="s">
        <v>13</v>
      </c>
      <c r="C192" s="2">
        <v>2023.0</v>
      </c>
      <c r="D192" s="4" t="str">
        <f t="shared" si="1"/>
        <v>ML-AE-2023</v>
      </c>
    </row>
    <row r="193">
      <c r="A193" s="2" t="s">
        <v>33</v>
      </c>
      <c r="B193" s="2" t="s">
        <v>18</v>
      </c>
      <c r="C193" s="2">
        <v>2009.0</v>
      </c>
      <c r="D193" s="4" t="str">
        <f t="shared" si="1"/>
        <v>ML-AE-BP-2009</v>
      </c>
    </row>
    <row r="194">
      <c r="A194" s="2" t="s">
        <v>33</v>
      </c>
      <c r="B194" s="2" t="s">
        <v>18</v>
      </c>
      <c r="C194" s="2">
        <v>2015.0</v>
      </c>
      <c r="D194" s="4" t="str">
        <f t="shared" si="1"/>
        <v>ML-AE-BP-2015</v>
      </c>
    </row>
    <row r="195">
      <c r="A195" s="2" t="s">
        <v>33</v>
      </c>
      <c r="B195" s="2" t="s">
        <v>18</v>
      </c>
      <c r="C195" s="2">
        <v>2018.0</v>
      </c>
      <c r="D195" s="4" t="str">
        <f t="shared" si="1"/>
        <v>ML-AE-BP-2018</v>
      </c>
    </row>
    <row r="196">
      <c r="A196" s="2" t="s">
        <v>33</v>
      </c>
      <c r="B196" s="2" t="s">
        <v>18</v>
      </c>
      <c r="C196" s="2">
        <v>2019.0</v>
      </c>
      <c r="D196" s="4" t="str">
        <f t="shared" si="1"/>
        <v>ML-AE-BP-2019</v>
      </c>
    </row>
    <row r="197">
      <c r="A197" s="2" t="s">
        <v>33</v>
      </c>
      <c r="B197" s="2" t="s">
        <v>18</v>
      </c>
      <c r="C197" s="2">
        <v>2020.0</v>
      </c>
      <c r="D197" s="4" t="str">
        <f t="shared" si="1"/>
        <v>ML-AE-BP-2020</v>
      </c>
    </row>
    <row r="198">
      <c r="A198" s="2" t="s">
        <v>33</v>
      </c>
      <c r="B198" s="2" t="s">
        <v>21</v>
      </c>
      <c r="C198" s="2">
        <v>2009.0</v>
      </c>
      <c r="D198" s="4" t="str">
        <f t="shared" si="1"/>
        <v>ML-GE-2009</v>
      </c>
    </row>
    <row r="199">
      <c r="A199" s="2" t="s">
        <v>33</v>
      </c>
      <c r="B199" s="2" t="s">
        <v>21</v>
      </c>
      <c r="C199" s="2">
        <v>2014.0</v>
      </c>
      <c r="D199" s="4" t="str">
        <f t="shared" si="1"/>
        <v>ML-GE-2014</v>
      </c>
    </row>
    <row r="200">
      <c r="A200" s="2" t="s">
        <v>33</v>
      </c>
      <c r="B200" s="2" t="s">
        <v>21</v>
      </c>
      <c r="C200" s="2">
        <v>2019.0</v>
      </c>
      <c r="D200" s="4" t="str">
        <f t="shared" si="1"/>
        <v>ML-GE-2019</v>
      </c>
    </row>
    <row r="201">
      <c r="A201" s="2" t="s">
        <v>33</v>
      </c>
      <c r="B201" s="2" t="s">
        <v>21</v>
      </c>
      <c r="C201" s="2">
        <v>2024.0</v>
      </c>
      <c r="D201" s="4" t="str">
        <f t="shared" si="1"/>
        <v>ML-GE-2024</v>
      </c>
    </row>
    <row r="202">
      <c r="A202" s="2" t="s">
        <v>33</v>
      </c>
      <c r="B202" s="2" t="s">
        <v>22</v>
      </c>
      <c r="C202" s="2">
        <v>2008.0</v>
      </c>
      <c r="D202" s="4" t="str">
        <f t="shared" si="1"/>
        <v>ML-GE-BP-2008</v>
      </c>
    </row>
    <row r="203">
      <c r="A203" s="2" t="s">
        <v>33</v>
      </c>
      <c r="B203" s="2" t="s">
        <v>22</v>
      </c>
      <c r="C203" s="2">
        <v>2016.0</v>
      </c>
      <c r="D203" s="4" t="str">
        <f t="shared" si="1"/>
        <v>ML-GE-BP-2016</v>
      </c>
    </row>
    <row r="204">
      <c r="A204" s="2" t="s">
        <v>34</v>
      </c>
      <c r="B204" s="2" t="s">
        <v>18</v>
      </c>
      <c r="C204" s="2">
        <v>2014.0</v>
      </c>
      <c r="D204" s="4" t="str">
        <f t="shared" si="1"/>
        <v>MN-AE-BP-2014</v>
      </c>
    </row>
    <row r="205">
      <c r="A205" s="2" t="s">
        <v>34</v>
      </c>
      <c r="B205" s="2" t="s">
        <v>18</v>
      </c>
      <c r="C205" s="2">
        <v>2015.0</v>
      </c>
      <c r="D205" s="4" t="str">
        <f t="shared" si="1"/>
        <v>MN-AE-BP-2015</v>
      </c>
    </row>
    <row r="206">
      <c r="A206" s="2" t="s">
        <v>34</v>
      </c>
      <c r="B206" s="2" t="s">
        <v>18</v>
      </c>
      <c r="C206" s="2">
        <v>2020.0</v>
      </c>
      <c r="D206" s="4" t="str">
        <f t="shared" si="1"/>
        <v>MN-AE-BP-2020</v>
      </c>
    </row>
    <row r="207">
      <c r="A207" s="2" t="s">
        <v>34</v>
      </c>
      <c r="B207" s="2" t="s">
        <v>21</v>
      </c>
      <c r="C207" s="2">
        <v>2009.0</v>
      </c>
      <c r="D207" s="4" t="str">
        <f t="shared" si="1"/>
        <v>MN-GE-2009</v>
      </c>
    </row>
    <row r="208">
      <c r="A208" s="2" t="s">
        <v>15</v>
      </c>
      <c r="B208" s="2" t="s">
        <v>13</v>
      </c>
      <c r="C208" s="2">
        <v>2008.0</v>
      </c>
      <c r="D208" s="4" t="str">
        <f t="shared" si="1"/>
        <v>MP-AE-2008</v>
      </c>
    </row>
    <row r="209">
      <c r="A209" s="2" t="s">
        <v>15</v>
      </c>
      <c r="B209" s="2" t="s">
        <v>13</v>
      </c>
      <c r="C209" s="2">
        <v>2013.0</v>
      </c>
      <c r="D209" s="4" t="str">
        <f t="shared" si="1"/>
        <v>MP-AE-2013</v>
      </c>
    </row>
    <row r="210">
      <c r="A210" s="2" t="s">
        <v>15</v>
      </c>
      <c r="B210" s="2" t="s">
        <v>13</v>
      </c>
      <c r="C210" s="2">
        <v>2018.0</v>
      </c>
      <c r="D210" s="4" t="str">
        <f t="shared" si="1"/>
        <v>MP-AE-2018</v>
      </c>
    </row>
    <row r="211">
      <c r="A211" s="2" t="s">
        <v>15</v>
      </c>
      <c r="B211" s="2" t="s">
        <v>13</v>
      </c>
      <c r="C211" s="2">
        <v>2023.0</v>
      </c>
      <c r="D211" s="4" t="str">
        <f t="shared" si="1"/>
        <v>MP-AE-2023</v>
      </c>
    </row>
    <row r="212">
      <c r="A212" s="2" t="s">
        <v>15</v>
      </c>
      <c r="B212" s="2" t="s">
        <v>18</v>
      </c>
      <c r="C212" s="2">
        <v>2009.0</v>
      </c>
      <c r="D212" s="4" t="str">
        <f t="shared" si="1"/>
        <v>MP-AE-BP-2009</v>
      </c>
    </row>
    <row r="213">
      <c r="A213" s="2" t="s">
        <v>15</v>
      </c>
      <c r="B213" s="2" t="s">
        <v>18</v>
      </c>
      <c r="C213" s="2">
        <v>2011.0</v>
      </c>
      <c r="D213" s="4" t="str">
        <f t="shared" si="1"/>
        <v>MP-AE-BP-2011</v>
      </c>
    </row>
    <row r="214">
      <c r="A214" s="2" t="s">
        <v>15</v>
      </c>
      <c r="B214" s="2" t="s">
        <v>18</v>
      </c>
      <c r="C214" s="2">
        <v>2014.0</v>
      </c>
      <c r="D214" s="4" t="str">
        <f t="shared" si="1"/>
        <v>MP-AE-BP-2014</v>
      </c>
    </row>
    <row r="215">
      <c r="A215" s="2" t="s">
        <v>15</v>
      </c>
      <c r="B215" s="2" t="s">
        <v>18</v>
      </c>
      <c r="C215" s="2">
        <v>2015.0</v>
      </c>
      <c r="D215" s="4" t="str">
        <f t="shared" si="1"/>
        <v>MP-AE-BP-2015</v>
      </c>
    </row>
    <row r="216">
      <c r="A216" s="2" t="s">
        <v>15</v>
      </c>
      <c r="B216" s="2" t="s">
        <v>18</v>
      </c>
      <c r="C216" s="2">
        <v>2016.0</v>
      </c>
      <c r="D216" s="4" t="str">
        <f t="shared" si="1"/>
        <v>MP-AE-BP-2016</v>
      </c>
    </row>
    <row r="217">
      <c r="A217" s="2" t="s">
        <v>15</v>
      </c>
      <c r="B217" s="2" t="s">
        <v>18</v>
      </c>
      <c r="C217" s="2">
        <v>2017.0</v>
      </c>
      <c r="D217" s="4" t="str">
        <f t="shared" si="1"/>
        <v>MP-AE-BP-2017</v>
      </c>
    </row>
    <row r="218">
      <c r="A218" s="2" t="s">
        <v>15</v>
      </c>
      <c r="B218" s="2" t="s">
        <v>18</v>
      </c>
      <c r="C218" s="2">
        <v>2018.0</v>
      </c>
      <c r="D218" s="4" t="str">
        <f t="shared" si="1"/>
        <v>MP-AE-BP-2018</v>
      </c>
    </row>
    <row r="219">
      <c r="A219" s="2" t="s">
        <v>15</v>
      </c>
      <c r="B219" s="2" t="s">
        <v>18</v>
      </c>
      <c r="C219" s="2">
        <v>2019.0</v>
      </c>
      <c r="D219" s="4" t="str">
        <f t="shared" si="1"/>
        <v>MP-AE-BP-2019</v>
      </c>
    </row>
    <row r="220">
      <c r="A220" s="2" t="s">
        <v>15</v>
      </c>
      <c r="B220" s="2" t="s">
        <v>18</v>
      </c>
      <c r="C220" s="2">
        <v>2020.0</v>
      </c>
      <c r="D220" s="4" t="str">
        <f t="shared" si="1"/>
        <v>MP-AE-BP-2020</v>
      </c>
    </row>
    <row r="221">
      <c r="A221" s="2" t="s">
        <v>15</v>
      </c>
      <c r="B221" s="2" t="s">
        <v>18</v>
      </c>
      <c r="C221" s="2">
        <v>2021.0</v>
      </c>
      <c r="D221" s="4" t="str">
        <f t="shared" si="1"/>
        <v>MP-AE-BP-2021</v>
      </c>
    </row>
    <row r="222">
      <c r="A222" s="2" t="s">
        <v>15</v>
      </c>
      <c r="B222" s="2" t="s">
        <v>18</v>
      </c>
      <c r="C222" s="2">
        <v>2024.0</v>
      </c>
      <c r="D222" s="4" t="str">
        <f t="shared" si="1"/>
        <v>MP-AE-BP-2024</v>
      </c>
    </row>
    <row r="223">
      <c r="A223" s="2" t="s">
        <v>15</v>
      </c>
      <c r="B223" s="2" t="s">
        <v>21</v>
      </c>
      <c r="C223" s="2">
        <v>2009.0</v>
      </c>
      <c r="D223" s="4" t="str">
        <f t="shared" si="1"/>
        <v>MP-GE-2009</v>
      </c>
    </row>
    <row r="224">
      <c r="A224" s="2" t="s">
        <v>15</v>
      </c>
      <c r="B224" s="2" t="s">
        <v>21</v>
      </c>
      <c r="C224" s="2">
        <v>2014.0</v>
      </c>
      <c r="D224" s="4" t="str">
        <f t="shared" si="1"/>
        <v>MP-GE-2014</v>
      </c>
    </row>
    <row r="225">
      <c r="A225" s="2" t="s">
        <v>15</v>
      </c>
      <c r="B225" s="2" t="s">
        <v>22</v>
      </c>
      <c r="C225" s="2">
        <v>2015.0</v>
      </c>
      <c r="D225" s="4" t="str">
        <f t="shared" si="1"/>
        <v>MP-GE-BP-2015</v>
      </c>
    </row>
    <row r="226">
      <c r="A226" s="2" t="s">
        <v>15</v>
      </c>
      <c r="B226" s="2" t="s">
        <v>22</v>
      </c>
      <c r="C226" s="2">
        <v>2021.0</v>
      </c>
      <c r="D226" s="4" t="str">
        <f t="shared" si="1"/>
        <v>MP-GE-BP-2021</v>
      </c>
    </row>
    <row r="227">
      <c r="A227" s="2" t="s">
        <v>16</v>
      </c>
      <c r="B227" s="2" t="s">
        <v>13</v>
      </c>
      <c r="C227" s="2">
        <v>2008.0</v>
      </c>
      <c r="D227" s="4" t="str">
        <f t="shared" si="1"/>
        <v>MZ-AE-2008</v>
      </c>
    </row>
    <row r="228">
      <c r="A228" s="2" t="s">
        <v>16</v>
      </c>
      <c r="B228" s="2" t="s">
        <v>13</v>
      </c>
      <c r="C228" s="2">
        <v>2013.0</v>
      </c>
      <c r="D228" s="4" t="str">
        <f t="shared" si="1"/>
        <v>MZ-AE-2013</v>
      </c>
    </row>
    <row r="229">
      <c r="A229" s="2" t="s">
        <v>16</v>
      </c>
      <c r="B229" s="2" t="s">
        <v>13</v>
      </c>
      <c r="C229" s="2">
        <v>2018.0</v>
      </c>
      <c r="D229" s="4" t="str">
        <f t="shared" si="1"/>
        <v>MZ-AE-2018</v>
      </c>
    </row>
    <row r="230">
      <c r="A230" s="2" t="s">
        <v>16</v>
      </c>
      <c r="B230" s="2" t="s">
        <v>13</v>
      </c>
      <c r="C230" s="2">
        <v>2023.0</v>
      </c>
      <c r="D230" s="4" t="str">
        <f t="shared" si="1"/>
        <v>MZ-AE-2023</v>
      </c>
    </row>
    <row r="231">
      <c r="A231" s="2" t="s">
        <v>16</v>
      </c>
      <c r="B231" s="2" t="s">
        <v>18</v>
      </c>
      <c r="C231" s="2">
        <v>2013.0</v>
      </c>
      <c r="D231" s="4" t="str">
        <f t="shared" si="1"/>
        <v>MZ-AE-BP-2013</v>
      </c>
    </row>
    <row r="232">
      <c r="A232" s="2" t="s">
        <v>16</v>
      </c>
      <c r="B232" s="2" t="s">
        <v>18</v>
      </c>
      <c r="C232" s="2">
        <v>2014.0</v>
      </c>
      <c r="D232" s="4" t="str">
        <f t="shared" si="1"/>
        <v>MZ-AE-BP-2014</v>
      </c>
    </row>
    <row r="233">
      <c r="A233" s="2" t="s">
        <v>16</v>
      </c>
      <c r="B233" s="2" t="s">
        <v>18</v>
      </c>
      <c r="C233" s="2">
        <v>2015.0</v>
      </c>
      <c r="D233" s="4" t="str">
        <f t="shared" si="1"/>
        <v>MZ-AE-BP-2015</v>
      </c>
    </row>
    <row r="234">
      <c r="A234" s="2" t="s">
        <v>16</v>
      </c>
      <c r="B234" s="2" t="s">
        <v>18</v>
      </c>
      <c r="C234" s="2">
        <v>2019.0</v>
      </c>
      <c r="D234" s="4" t="str">
        <f t="shared" si="1"/>
        <v>MZ-AE-BP-2019</v>
      </c>
    </row>
    <row r="235">
      <c r="A235" s="2" t="s">
        <v>16</v>
      </c>
      <c r="B235" s="2" t="s">
        <v>18</v>
      </c>
      <c r="C235" s="2">
        <v>2021.0</v>
      </c>
      <c r="D235" s="4" t="str">
        <f t="shared" si="1"/>
        <v>MZ-AE-BP-2021</v>
      </c>
    </row>
    <row r="236">
      <c r="A236" s="2" t="s">
        <v>16</v>
      </c>
      <c r="B236" s="2" t="s">
        <v>21</v>
      </c>
      <c r="C236" s="2">
        <v>2009.0</v>
      </c>
      <c r="D236" s="4" t="str">
        <f t="shared" si="1"/>
        <v>MZ-GE-2009</v>
      </c>
    </row>
    <row r="237">
      <c r="A237" s="2" t="s">
        <v>16</v>
      </c>
      <c r="B237" s="2" t="s">
        <v>21</v>
      </c>
      <c r="C237" s="2">
        <v>2014.0</v>
      </c>
      <c r="D237" s="4" t="str">
        <f t="shared" si="1"/>
        <v>MZ-GE-2014</v>
      </c>
    </row>
    <row r="238">
      <c r="A238" s="2" t="s">
        <v>16</v>
      </c>
      <c r="B238" s="2" t="s">
        <v>21</v>
      </c>
      <c r="C238" s="2">
        <v>2019.0</v>
      </c>
      <c r="D238" s="4" t="str">
        <f t="shared" si="1"/>
        <v>MZ-GE-2019</v>
      </c>
    </row>
    <row r="239">
      <c r="A239" s="2" t="s">
        <v>16</v>
      </c>
      <c r="B239" s="2" t="s">
        <v>21</v>
      </c>
      <c r="C239" s="2">
        <v>2024.0</v>
      </c>
      <c r="D239" s="4" t="str">
        <f t="shared" si="1"/>
        <v>MZ-GE-2024</v>
      </c>
    </row>
    <row r="240">
      <c r="A240" s="2" t="s">
        <v>35</v>
      </c>
      <c r="B240" s="2" t="s">
        <v>13</v>
      </c>
      <c r="C240" s="2">
        <v>2013.0</v>
      </c>
      <c r="D240" s="4" t="str">
        <f t="shared" si="1"/>
        <v>NL-AE-2013</v>
      </c>
    </row>
    <row r="241">
      <c r="A241" s="2" t="s">
        <v>35</v>
      </c>
      <c r="B241" s="2" t="s">
        <v>13</v>
      </c>
      <c r="C241" s="2">
        <v>2018.0</v>
      </c>
      <c r="D241" s="4" t="str">
        <f t="shared" si="1"/>
        <v>NL-AE-2018</v>
      </c>
    </row>
    <row r="242">
      <c r="A242" s="2" t="s">
        <v>35</v>
      </c>
      <c r="B242" s="2" t="s">
        <v>13</v>
      </c>
      <c r="C242" s="2">
        <v>2023.0</v>
      </c>
      <c r="D242" s="4" t="str">
        <f t="shared" si="1"/>
        <v>NL-AE-2023</v>
      </c>
    </row>
    <row r="243">
      <c r="A243" s="2" t="s">
        <v>35</v>
      </c>
      <c r="B243" s="2" t="s">
        <v>18</v>
      </c>
      <c r="C243" s="2">
        <v>2009.0</v>
      </c>
      <c r="D243" s="4" t="str">
        <f t="shared" si="1"/>
        <v>NL-AE-BP-2009</v>
      </c>
    </row>
    <row r="244">
      <c r="A244" s="2" t="s">
        <v>35</v>
      </c>
      <c r="B244" s="2" t="s">
        <v>18</v>
      </c>
      <c r="C244" s="2">
        <v>2011.0</v>
      </c>
      <c r="D244" s="4" t="str">
        <f t="shared" si="1"/>
        <v>NL-AE-BP-2011</v>
      </c>
    </row>
    <row r="245">
      <c r="A245" s="2" t="s">
        <v>35</v>
      </c>
      <c r="B245" s="2" t="s">
        <v>18</v>
      </c>
      <c r="C245" s="2">
        <v>2017.0</v>
      </c>
      <c r="D245" s="4" t="str">
        <f t="shared" si="1"/>
        <v>NL-AE-BP-2017</v>
      </c>
    </row>
    <row r="246">
      <c r="A246" s="2" t="s">
        <v>35</v>
      </c>
      <c r="B246" s="2" t="s">
        <v>18</v>
      </c>
      <c r="C246" s="2">
        <v>2019.0</v>
      </c>
      <c r="D246" s="4" t="str">
        <f t="shared" si="1"/>
        <v>NL-AE-BP-2019</v>
      </c>
    </row>
    <row r="247">
      <c r="A247" s="2" t="s">
        <v>35</v>
      </c>
      <c r="B247" s="2" t="s">
        <v>18</v>
      </c>
      <c r="C247" s="2">
        <v>2023.0</v>
      </c>
      <c r="D247" s="4" t="str">
        <f t="shared" si="1"/>
        <v>NL-AE-BP-2023</v>
      </c>
    </row>
    <row r="248">
      <c r="A248" s="2" t="s">
        <v>35</v>
      </c>
      <c r="B248" s="2" t="s">
        <v>21</v>
      </c>
      <c r="C248" s="2">
        <v>2009.0</v>
      </c>
      <c r="D248" s="4" t="str">
        <f t="shared" si="1"/>
        <v>NL-GE-2009</v>
      </c>
    </row>
    <row r="249">
      <c r="A249" s="2" t="s">
        <v>35</v>
      </c>
      <c r="B249" s="2" t="s">
        <v>21</v>
      </c>
      <c r="C249" s="2">
        <v>2014.0</v>
      </c>
      <c r="D249" s="4" t="str">
        <f t="shared" si="1"/>
        <v>NL-GE-2014</v>
      </c>
    </row>
    <row r="250">
      <c r="A250" s="2" t="s">
        <v>35</v>
      </c>
      <c r="B250" s="2" t="s">
        <v>21</v>
      </c>
      <c r="C250" s="2">
        <v>2019.0</v>
      </c>
      <c r="D250" s="4" t="str">
        <f t="shared" si="1"/>
        <v>NL-GE-2019</v>
      </c>
    </row>
    <row r="251">
      <c r="A251" s="2" t="s">
        <v>35</v>
      </c>
      <c r="B251" s="2" t="s">
        <v>21</v>
      </c>
      <c r="C251" s="2">
        <v>2024.0</v>
      </c>
      <c r="D251" s="4" t="str">
        <f t="shared" si="1"/>
        <v>NL-GE-2024</v>
      </c>
    </row>
    <row r="252">
      <c r="A252" s="2" t="s">
        <v>45</v>
      </c>
      <c r="B252" s="2" t="s">
        <v>18</v>
      </c>
      <c r="C252" s="2">
        <v>2008.0</v>
      </c>
      <c r="D252" s="4" t="str">
        <f t="shared" si="1"/>
        <v>OR-AE-BP-2008</v>
      </c>
    </row>
    <row r="253">
      <c r="A253" s="2" t="s">
        <v>45</v>
      </c>
      <c r="B253" s="2" t="s">
        <v>18</v>
      </c>
      <c r="C253" s="2">
        <v>2011.0</v>
      </c>
      <c r="D253" s="4" t="str">
        <f t="shared" si="1"/>
        <v>OR-AE-BP-2011</v>
      </c>
    </row>
    <row r="254">
      <c r="A254" s="2" t="s">
        <v>45</v>
      </c>
      <c r="B254" s="2" t="s">
        <v>18</v>
      </c>
      <c r="C254" s="2">
        <v>2012.0</v>
      </c>
      <c r="D254" s="4" t="str">
        <f t="shared" si="1"/>
        <v>OR-AE-BP-2012</v>
      </c>
    </row>
    <row r="255">
      <c r="A255" s="2" t="s">
        <v>45</v>
      </c>
      <c r="B255" s="2" t="s">
        <v>18</v>
      </c>
      <c r="C255" s="2">
        <v>2019.0</v>
      </c>
      <c r="D255" s="4" t="str">
        <f t="shared" si="1"/>
        <v>OR-AE-BP-2019</v>
      </c>
    </row>
    <row r="256">
      <c r="A256" s="2" t="s">
        <v>45</v>
      </c>
      <c r="B256" s="2" t="s">
        <v>18</v>
      </c>
      <c r="C256" s="2">
        <v>2020.0</v>
      </c>
      <c r="D256" s="4" t="str">
        <f t="shared" si="1"/>
        <v>OR-AE-BP-2020</v>
      </c>
    </row>
    <row r="257">
      <c r="A257" s="2" t="s">
        <v>45</v>
      </c>
      <c r="B257" s="2" t="s">
        <v>18</v>
      </c>
      <c r="C257" s="2">
        <v>2021.0</v>
      </c>
      <c r="D257" s="4" t="str">
        <f t="shared" si="1"/>
        <v>OR-AE-BP-2021</v>
      </c>
    </row>
    <row r="258">
      <c r="A258" s="2" t="s">
        <v>45</v>
      </c>
      <c r="B258" s="2" t="s">
        <v>18</v>
      </c>
      <c r="C258" s="2">
        <v>2022.0</v>
      </c>
      <c r="D258" s="4" t="str">
        <f t="shared" si="1"/>
        <v>OR-AE-BP-2022</v>
      </c>
    </row>
    <row r="259">
      <c r="A259" s="2" t="s">
        <v>45</v>
      </c>
      <c r="B259" s="2" t="s">
        <v>18</v>
      </c>
      <c r="C259" s="2">
        <v>2023.0</v>
      </c>
      <c r="D259" s="4" t="str">
        <f t="shared" si="1"/>
        <v>OR-AE-BP-2023</v>
      </c>
    </row>
    <row r="260">
      <c r="A260" s="2" t="s">
        <v>45</v>
      </c>
      <c r="B260" s="2" t="s">
        <v>22</v>
      </c>
      <c r="C260" s="2">
        <v>2014.0</v>
      </c>
      <c r="D260" s="4" t="str">
        <f t="shared" si="1"/>
        <v>OR-GE-BP-2014</v>
      </c>
    </row>
    <row r="261">
      <c r="A261" s="2" t="s">
        <v>46</v>
      </c>
      <c r="B261" s="2" t="s">
        <v>18</v>
      </c>
      <c r="C261" s="2">
        <v>2008.0</v>
      </c>
      <c r="D261" s="4" t="str">
        <f t="shared" si="1"/>
        <v>PB-AE-BP-2008</v>
      </c>
    </row>
    <row r="262">
      <c r="A262" s="2" t="s">
        <v>46</v>
      </c>
      <c r="B262" s="2" t="s">
        <v>18</v>
      </c>
      <c r="C262" s="2">
        <v>2009.0</v>
      </c>
      <c r="D262" s="4" t="str">
        <f t="shared" si="1"/>
        <v>PB-AE-BP-2009</v>
      </c>
    </row>
    <row r="263">
      <c r="A263" s="2" t="s">
        <v>46</v>
      </c>
      <c r="B263" s="2" t="s">
        <v>18</v>
      </c>
      <c r="C263" s="2">
        <v>2012.0</v>
      </c>
      <c r="D263" s="4" t="str">
        <f t="shared" si="1"/>
        <v>PB-AE-BP-2012</v>
      </c>
    </row>
    <row r="264">
      <c r="A264" s="2" t="s">
        <v>46</v>
      </c>
      <c r="B264" s="2" t="s">
        <v>18</v>
      </c>
      <c r="C264" s="2">
        <v>2013.0</v>
      </c>
      <c r="D264" s="4" t="str">
        <f t="shared" si="1"/>
        <v>PB-AE-BP-2013</v>
      </c>
    </row>
    <row r="265">
      <c r="A265" s="2" t="s">
        <v>46</v>
      </c>
      <c r="B265" s="2" t="s">
        <v>18</v>
      </c>
      <c r="C265" s="2">
        <v>2014.0</v>
      </c>
      <c r="D265" s="4" t="str">
        <f t="shared" si="1"/>
        <v>PB-AE-BP-2014</v>
      </c>
    </row>
    <row r="266">
      <c r="A266" s="2" t="s">
        <v>46</v>
      </c>
      <c r="B266" s="2" t="s">
        <v>18</v>
      </c>
      <c r="C266" s="2">
        <v>2015.0</v>
      </c>
      <c r="D266" s="4" t="str">
        <f t="shared" si="1"/>
        <v>PB-AE-BP-2015</v>
      </c>
    </row>
    <row r="267">
      <c r="A267" s="2" t="s">
        <v>46</v>
      </c>
      <c r="B267" s="2" t="s">
        <v>18</v>
      </c>
      <c r="C267" s="2">
        <v>2018.0</v>
      </c>
      <c r="D267" s="4" t="str">
        <f t="shared" si="1"/>
        <v>PB-AE-BP-2018</v>
      </c>
    </row>
    <row r="268">
      <c r="A268" s="2" t="s">
        <v>46</v>
      </c>
      <c r="B268" s="2" t="s">
        <v>18</v>
      </c>
      <c r="C268" s="2">
        <v>2019.0</v>
      </c>
      <c r="D268" s="4" t="str">
        <f t="shared" si="1"/>
        <v>PB-AE-BP-2019</v>
      </c>
    </row>
    <row r="269">
      <c r="A269" s="2" t="s">
        <v>46</v>
      </c>
      <c r="B269" s="2" t="s">
        <v>18</v>
      </c>
      <c r="C269" s="2">
        <v>2024.0</v>
      </c>
      <c r="D269" s="4" t="str">
        <f t="shared" si="1"/>
        <v>PB-AE-BP-2024</v>
      </c>
    </row>
    <row r="270">
      <c r="A270" s="2" t="s">
        <v>46</v>
      </c>
      <c r="B270" s="2" t="s">
        <v>18</v>
      </c>
      <c r="C270" s="2">
        <v>2025.0</v>
      </c>
      <c r="D270" s="4" t="str">
        <f t="shared" si="1"/>
        <v>PB-AE-BP-2025</v>
      </c>
    </row>
    <row r="271">
      <c r="A271" s="2" t="s">
        <v>46</v>
      </c>
      <c r="B271" s="2" t="s">
        <v>22</v>
      </c>
      <c r="C271" s="2">
        <v>2016.0</v>
      </c>
      <c r="D271" s="4" t="str">
        <f t="shared" si="1"/>
        <v>PB-GE-BP-2016</v>
      </c>
    </row>
    <row r="272">
      <c r="A272" s="2" t="s">
        <v>46</v>
      </c>
      <c r="B272" s="2" t="s">
        <v>22</v>
      </c>
      <c r="C272" s="2">
        <v>2017.0</v>
      </c>
      <c r="D272" s="4" t="str">
        <f t="shared" si="1"/>
        <v>PB-GE-BP-2017</v>
      </c>
    </row>
    <row r="273">
      <c r="A273" s="2" t="s">
        <v>46</v>
      </c>
      <c r="B273" s="2" t="s">
        <v>22</v>
      </c>
      <c r="C273" s="2">
        <v>2022.0</v>
      </c>
      <c r="D273" s="4" t="str">
        <f t="shared" si="1"/>
        <v>PB-GE-BP-2022</v>
      </c>
    </row>
    <row r="274">
      <c r="A274" s="2" t="s">
        <v>47</v>
      </c>
      <c r="B274" s="2" t="s">
        <v>18</v>
      </c>
      <c r="C274" s="2">
        <v>2011.0</v>
      </c>
      <c r="D274" s="4" t="str">
        <f t="shared" si="1"/>
        <v>PY-AE-BP-2011</v>
      </c>
    </row>
    <row r="275">
      <c r="A275" s="2" t="s">
        <v>47</v>
      </c>
      <c r="B275" s="2" t="s">
        <v>18</v>
      </c>
      <c r="C275" s="2">
        <v>2016.0</v>
      </c>
      <c r="D275" s="4" t="str">
        <f t="shared" si="1"/>
        <v>PY-AE-BP-2016</v>
      </c>
    </row>
    <row r="276">
      <c r="A276" s="2" t="s">
        <v>47</v>
      </c>
      <c r="B276" s="2" t="s">
        <v>18</v>
      </c>
      <c r="C276" s="2">
        <v>2019.0</v>
      </c>
      <c r="D276" s="4" t="str">
        <f t="shared" si="1"/>
        <v>PY-AE-BP-2019</v>
      </c>
    </row>
    <row r="277">
      <c r="A277" s="2" t="s">
        <v>48</v>
      </c>
      <c r="B277" s="2" t="s">
        <v>18</v>
      </c>
      <c r="C277" s="2">
        <v>2009.0</v>
      </c>
      <c r="D277" s="4" t="str">
        <f t="shared" si="1"/>
        <v>RJ-AE-BP-2009</v>
      </c>
    </row>
    <row r="278">
      <c r="A278" s="2" t="s">
        <v>48</v>
      </c>
      <c r="B278" s="2" t="s">
        <v>18</v>
      </c>
      <c r="C278" s="2">
        <v>2014.0</v>
      </c>
      <c r="D278" s="4" t="str">
        <f t="shared" si="1"/>
        <v>RJ-AE-BP-2014</v>
      </c>
    </row>
    <row r="279">
      <c r="A279" s="2" t="s">
        <v>48</v>
      </c>
      <c r="B279" s="2" t="s">
        <v>18</v>
      </c>
      <c r="C279" s="2">
        <v>2017.0</v>
      </c>
      <c r="D279" s="4" t="str">
        <f t="shared" si="1"/>
        <v>RJ-AE-BP-2017</v>
      </c>
    </row>
    <row r="280">
      <c r="A280" s="2" t="s">
        <v>48</v>
      </c>
      <c r="B280" s="2" t="s">
        <v>18</v>
      </c>
      <c r="C280" s="2">
        <v>2018.0</v>
      </c>
      <c r="D280" s="4" t="str">
        <f t="shared" si="1"/>
        <v>RJ-AE-BP-2018</v>
      </c>
    </row>
    <row r="281">
      <c r="A281" s="2" t="s">
        <v>48</v>
      </c>
      <c r="B281" s="2" t="s">
        <v>18</v>
      </c>
      <c r="C281" s="2">
        <v>2019.0</v>
      </c>
      <c r="D281" s="4" t="str">
        <f t="shared" si="1"/>
        <v>RJ-AE-BP-2019</v>
      </c>
    </row>
    <row r="282">
      <c r="A282" s="2" t="s">
        <v>48</v>
      </c>
      <c r="B282" s="2" t="s">
        <v>18</v>
      </c>
      <c r="C282" s="2">
        <v>2021.0</v>
      </c>
      <c r="D282" s="4" t="str">
        <f t="shared" si="1"/>
        <v>RJ-AE-BP-2021</v>
      </c>
    </row>
    <row r="283">
      <c r="A283" s="2" t="s">
        <v>48</v>
      </c>
      <c r="B283" s="2" t="s">
        <v>18</v>
      </c>
      <c r="C283" s="2">
        <v>2022.0</v>
      </c>
      <c r="D283" s="4" t="str">
        <f t="shared" si="1"/>
        <v>RJ-AE-BP-2022</v>
      </c>
    </row>
    <row r="284">
      <c r="A284" s="2" t="s">
        <v>48</v>
      </c>
      <c r="B284" s="2" t="s">
        <v>18</v>
      </c>
      <c r="C284" s="2">
        <v>2024.0</v>
      </c>
      <c r="D284" s="4" t="str">
        <f t="shared" si="1"/>
        <v>RJ-AE-BP-2024</v>
      </c>
    </row>
    <row r="285">
      <c r="A285" s="2" t="s">
        <v>48</v>
      </c>
      <c r="B285" s="2" t="s">
        <v>22</v>
      </c>
      <c r="C285" s="2">
        <v>2018.0</v>
      </c>
      <c r="D285" s="4" t="str">
        <f t="shared" si="1"/>
        <v>RJ-GE-BP-2018</v>
      </c>
    </row>
    <row r="286">
      <c r="A286" s="2" t="s">
        <v>36</v>
      </c>
      <c r="B286" s="2" t="s">
        <v>13</v>
      </c>
      <c r="C286" s="2">
        <v>2009.0</v>
      </c>
      <c r="D286" s="4" t="str">
        <f t="shared" si="1"/>
        <v>SK-AE-2009</v>
      </c>
    </row>
    <row r="287">
      <c r="A287" s="2" t="s">
        <v>36</v>
      </c>
      <c r="B287" s="2" t="s">
        <v>13</v>
      </c>
      <c r="C287" s="2">
        <v>2014.0</v>
      </c>
      <c r="D287" s="4" t="str">
        <f t="shared" si="1"/>
        <v>SK-AE-2014</v>
      </c>
    </row>
    <row r="288">
      <c r="A288" s="2" t="s">
        <v>36</v>
      </c>
      <c r="B288" s="2" t="s">
        <v>13</v>
      </c>
      <c r="C288" s="2">
        <v>2019.0</v>
      </c>
      <c r="D288" s="4" t="str">
        <f t="shared" si="1"/>
        <v>SK-AE-2019</v>
      </c>
    </row>
    <row r="289">
      <c r="A289" s="2" t="s">
        <v>36</v>
      </c>
      <c r="B289" s="2" t="s">
        <v>13</v>
      </c>
      <c r="C289" s="2">
        <v>2024.0</v>
      </c>
      <c r="D289" s="4" t="str">
        <f t="shared" si="1"/>
        <v>SK-AE-2024</v>
      </c>
    </row>
    <row r="290">
      <c r="A290" s="2" t="s">
        <v>36</v>
      </c>
      <c r="B290" s="2" t="s">
        <v>18</v>
      </c>
      <c r="C290" s="2">
        <v>2014.0</v>
      </c>
      <c r="D290" s="4" t="str">
        <f t="shared" si="1"/>
        <v>SK-AE-BP-2014</v>
      </c>
    </row>
    <row r="291">
      <c r="A291" s="2" t="s">
        <v>36</v>
      </c>
      <c r="B291" s="2" t="s">
        <v>18</v>
      </c>
      <c r="C291" s="2">
        <v>2017.0</v>
      </c>
      <c r="D291" s="4" t="str">
        <f t="shared" si="1"/>
        <v>SK-AE-BP-2017</v>
      </c>
    </row>
    <row r="292">
      <c r="A292" s="2" t="s">
        <v>36</v>
      </c>
      <c r="B292" s="2" t="s">
        <v>18</v>
      </c>
      <c r="C292" s="2">
        <v>2019.0</v>
      </c>
      <c r="D292" s="4" t="str">
        <f t="shared" si="1"/>
        <v>SK-AE-BP-2019</v>
      </c>
    </row>
    <row r="293">
      <c r="A293" s="2" t="s">
        <v>36</v>
      </c>
      <c r="B293" s="2" t="s">
        <v>18</v>
      </c>
      <c r="C293" s="2">
        <v>2024.0</v>
      </c>
      <c r="D293" s="4" t="str">
        <f t="shared" si="1"/>
        <v>SK-AE-BP-2024</v>
      </c>
    </row>
    <row r="294">
      <c r="A294" s="2" t="s">
        <v>36</v>
      </c>
      <c r="B294" s="2" t="s">
        <v>21</v>
      </c>
      <c r="C294" s="2">
        <v>2009.0</v>
      </c>
      <c r="D294" s="4" t="str">
        <f t="shared" si="1"/>
        <v>SK-GE-2009</v>
      </c>
    </row>
    <row r="295">
      <c r="A295" s="2" t="s">
        <v>36</v>
      </c>
      <c r="B295" s="2" t="s">
        <v>21</v>
      </c>
      <c r="C295" s="2">
        <v>2014.0</v>
      </c>
      <c r="D295" s="4" t="str">
        <f t="shared" si="1"/>
        <v>SK-GE-2014</v>
      </c>
    </row>
    <row r="296">
      <c r="A296" s="2" t="s">
        <v>36</v>
      </c>
      <c r="B296" s="2" t="s">
        <v>21</v>
      </c>
      <c r="C296" s="2">
        <v>2019.0</v>
      </c>
      <c r="D296" s="4" t="str">
        <f t="shared" si="1"/>
        <v>SK-GE-2019</v>
      </c>
    </row>
    <row r="297">
      <c r="A297" s="2" t="s">
        <v>36</v>
      </c>
      <c r="B297" s="2" t="s">
        <v>21</v>
      </c>
      <c r="C297" s="2">
        <v>2024.0</v>
      </c>
      <c r="D297" s="4" t="str">
        <f t="shared" si="1"/>
        <v>SK-GE-2024</v>
      </c>
    </row>
    <row r="298">
      <c r="A298" s="2" t="s">
        <v>49</v>
      </c>
      <c r="B298" s="2" t="s">
        <v>18</v>
      </c>
      <c r="C298" s="2">
        <v>2009.0</v>
      </c>
      <c r="D298" s="4" t="str">
        <f t="shared" si="1"/>
        <v>TN-AE-BP-2009</v>
      </c>
    </row>
    <row r="299">
      <c r="A299" s="2" t="s">
        <v>49</v>
      </c>
      <c r="B299" s="2" t="s">
        <v>18</v>
      </c>
      <c r="C299" s="2">
        <v>2011.0</v>
      </c>
      <c r="D299" s="4" t="str">
        <f t="shared" si="1"/>
        <v>TN-AE-BP-2011</v>
      </c>
    </row>
    <row r="300">
      <c r="A300" s="2" t="s">
        <v>49</v>
      </c>
      <c r="B300" s="2" t="s">
        <v>18</v>
      </c>
      <c r="C300" s="2">
        <v>2012.0</v>
      </c>
      <c r="D300" s="4" t="str">
        <f t="shared" si="1"/>
        <v>TN-AE-BP-2012</v>
      </c>
    </row>
    <row r="301">
      <c r="A301" s="2" t="s">
        <v>49</v>
      </c>
      <c r="B301" s="2" t="s">
        <v>18</v>
      </c>
      <c r="C301" s="2">
        <v>2013.0</v>
      </c>
      <c r="D301" s="4" t="str">
        <f t="shared" si="1"/>
        <v>TN-AE-BP-2013</v>
      </c>
    </row>
    <row r="302">
      <c r="A302" s="2" t="s">
        <v>49</v>
      </c>
      <c r="B302" s="2" t="s">
        <v>18</v>
      </c>
      <c r="C302" s="2">
        <v>2014.0</v>
      </c>
      <c r="D302" s="4" t="str">
        <f t="shared" si="1"/>
        <v>TN-AE-BP-2014</v>
      </c>
    </row>
    <row r="303">
      <c r="A303" s="2" t="s">
        <v>49</v>
      </c>
      <c r="B303" s="2" t="s">
        <v>18</v>
      </c>
      <c r="C303" s="2">
        <v>2015.0</v>
      </c>
      <c r="D303" s="4" t="str">
        <f t="shared" si="1"/>
        <v>TN-AE-BP-2015</v>
      </c>
    </row>
    <row r="304">
      <c r="A304" s="2" t="s">
        <v>49</v>
      </c>
      <c r="B304" s="2" t="s">
        <v>18</v>
      </c>
      <c r="C304" s="2">
        <v>2016.0</v>
      </c>
      <c r="D304" s="4" t="str">
        <f t="shared" si="1"/>
        <v>TN-AE-BP-2016</v>
      </c>
    </row>
    <row r="305">
      <c r="A305" s="2" t="s">
        <v>49</v>
      </c>
      <c r="B305" s="2" t="s">
        <v>18</v>
      </c>
      <c r="C305" s="2">
        <v>2017.0</v>
      </c>
      <c r="D305" s="4" t="str">
        <f t="shared" si="1"/>
        <v>TN-AE-BP-2017</v>
      </c>
    </row>
    <row r="306">
      <c r="A306" s="2" t="s">
        <v>49</v>
      </c>
      <c r="B306" s="2" t="s">
        <v>18</v>
      </c>
      <c r="C306" s="2">
        <v>2019.0</v>
      </c>
      <c r="D306" s="4" t="str">
        <f t="shared" si="1"/>
        <v>TN-AE-BP-2019</v>
      </c>
    </row>
    <row r="307">
      <c r="A307" s="2" t="s">
        <v>49</v>
      </c>
      <c r="B307" s="2" t="s">
        <v>18</v>
      </c>
      <c r="C307" s="2">
        <v>2023.0</v>
      </c>
      <c r="D307" s="4" t="str">
        <f t="shared" si="1"/>
        <v>TN-AE-BP-2023</v>
      </c>
    </row>
    <row r="308">
      <c r="A308" s="2" t="s">
        <v>49</v>
      </c>
      <c r="B308" s="2" t="s">
        <v>18</v>
      </c>
      <c r="C308" s="2">
        <v>2024.0</v>
      </c>
      <c r="D308" s="4" t="str">
        <f t="shared" si="1"/>
        <v>TN-AE-BP-2024</v>
      </c>
    </row>
    <row r="309">
      <c r="A309" s="2" t="s">
        <v>49</v>
      </c>
      <c r="B309" s="2" t="s">
        <v>18</v>
      </c>
      <c r="C309" s="2">
        <v>2025.0</v>
      </c>
      <c r="D309" s="4" t="str">
        <f t="shared" si="1"/>
        <v>TN-AE-BP-2025</v>
      </c>
    </row>
    <row r="310">
      <c r="A310" s="2" t="s">
        <v>49</v>
      </c>
      <c r="B310" s="2" t="s">
        <v>22</v>
      </c>
      <c r="C310" s="2">
        <v>2021.0</v>
      </c>
      <c r="D310" s="4" t="str">
        <f t="shared" si="1"/>
        <v>TN-GE-BP-2021</v>
      </c>
    </row>
    <row r="311">
      <c r="A311" s="2" t="s">
        <v>19</v>
      </c>
      <c r="B311" s="2" t="s">
        <v>13</v>
      </c>
      <c r="C311" s="2">
        <v>2008.0</v>
      </c>
      <c r="D311" s="4" t="str">
        <f t="shared" si="1"/>
        <v>TR-AE-2008</v>
      </c>
    </row>
    <row r="312">
      <c r="A312" s="2" t="s">
        <v>19</v>
      </c>
      <c r="B312" s="2" t="s">
        <v>13</v>
      </c>
      <c r="C312" s="2">
        <v>2013.0</v>
      </c>
      <c r="D312" s="4" t="str">
        <f t="shared" si="1"/>
        <v>TR-AE-2013</v>
      </c>
    </row>
    <row r="313">
      <c r="A313" s="2" t="s">
        <v>19</v>
      </c>
      <c r="B313" s="2" t="s">
        <v>13</v>
      </c>
      <c r="C313" s="2">
        <v>2018.0</v>
      </c>
      <c r="D313" s="4" t="str">
        <f t="shared" si="1"/>
        <v>TR-AE-2018</v>
      </c>
    </row>
    <row r="314">
      <c r="A314" s="2" t="s">
        <v>19</v>
      </c>
      <c r="B314" s="2" t="s">
        <v>13</v>
      </c>
      <c r="C314" s="2">
        <v>2023.0</v>
      </c>
      <c r="D314" s="4" t="str">
        <f t="shared" si="1"/>
        <v>TR-AE-2023</v>
      </c>
    </row>
    <row r="315">
      <c r="A315" s="2" t="s">
        <v>19</v>
      </c>
      <c r="B315" s="2" t="s">
        <v>18</v>
      </c>
      <c r="C315" s="2">
        <v>2012.0</v>
      </c>
      <c r="D315" s="4" t="str">
        <f t="shared" si="1"/>
        <v>TR-AE-BP-2012</v>
      </c>
    </row>
    <row r="316">
      <c r="A316" s="2" t="s">
        <v>19</v>
      </c>
      <c r="B316" s="2" t="s">
        <v>18</v>
      </c>
      <c r="C316" s="2">
        <v>2014.0</v>
      </c>
      <c r="D316" s="4" t="str">
        <f t="shared" si="1"/>
        <v>TR-AE-BP-2014</v>
      </c>
    </row>
    <row r="317">
      <c r="A317" s="2" t="s">
        <v>19</v>
      </c>
      <c r="B317" s="2" t="s">
        <v>18</v>
      </c>
      <c r="C317" s="2">
        <v>2015.0</v>
      </c>
      <c r="D317" s="4" t="str">
        <f t="shared" si="1"/>
        <v>TR-AE-BP-2015</v>
      </c>
    </row>
    <row r="318">
      <c r="A318" s="2" t="s">
        <v>19</v>
      </c>
      <c r="B318" s="2" t="s">
        <v>18</v>
      </c>
      <c r="C318" s="2">
        <v>2016.0</v>
      </c>
      <c r="D318" s="4" t="str">
        <f t="shared" si="1"/>
        <v>TR-AE-BP-2016</v>
      </c>
    </row>
    <row r="319">
      <c r="A319" s="2" t="s">
        <v>19</v>
      </c>
      <c r="B319" s="2" t="s">
        <v>18</v>
      </c>
      <c r="C319" s="2">
        <v>2019.0</v>
      </c>
      <c r="D319" s="4" t="str">
        <f t="shared" si="1"/>
        <v>TR-AE-BP-2019</v>
      </c>
    </row>
    <row r="320">
      <c r="A320" s="2" t="s">
        <v>19</v>
      </c>
      <c r="B320" s="2" t="s">
        <v>18</v>
      </c>
      <c r="C320" s="2">
        <v>2022.0</v>
      </c>
      <c r="D320" s="4" t="str">
        <f t="shared" si="1"/>
        <v>TR-AE-BP-2022</v>
      </c>
    </row>
    <row r="321">
      <c r="A321" s="2" t="s">
        <v>19</v>
      </c>
      <c r="B321" s="2" t="s">
        <v>18</v>
      </c>
      <c r="C321" s="2">
        <v>2023.0</v>
      </c>
      <c r="D321" s="4" t="str">
        <f t="shared" si="1"/>
        <v>TR-AE-BP-2023</v>
      </c>
    </row>
    <row r="322">
      <c r="A322" s="2" t="s">
        <v>19</v>
      </c>
      <c r="B322" s="2" t="s">
        <v>18</v>
      </c>
      <c r="C322" s="2">
        <v>2024.0</v>
      </c>
      <c r="D322" s="4" t="str">
        <f t="shared" si="1"/>
        <v>TR-AE-BP-2024</v>
      </c>
    </row>
    <row r="323">
      <c r="A323" s="2" t="s">
        <v>19</v>
      </c>
      <c r="B323" s="2" t="s">
        <v>21</v>
      </c>
      <c r="C323" s="2">
        <v>2009.0</v>
      </c>
      <c r="D323" s="4" t="str">
        <f t="shared" si="1"/>
        <v>TR-GE-2009</v>
      </c>
    </row>
    <row r="324">
      <c r="A324" s="2" t="s">
        <v>19</v>
      </c>
      <c r="B324" s="2" t="s">
        <v>21</v>
      </c>
      <c r="C324" s="2">
        <v>2014.0</v>
      </c>
      <c r="D324" s="4" t="str">
        <f t="shared" si="1"/>
        <v>TR-GE-2014</v>
      </c>
    </row>
    <row r="325">
      <c r="A325" s="2" t="s">
        <v>19</v>
      </c>
      <c r="B325" s="2" t="s">
        <v>21</v>
      </c>
      <c r="C325" s="2">
        <v>2019.0</v>
      </c>
      <c r="D325" s="4" t="str">
        <f t="shared" si="1"/>
        <v>TR-GE-2019</v>
      </c>
    </row>
    <row r="326">
      <c r="A326" s="2" t="s">
        <v>19</v>
      </c>
      <c r="B326" s="2" t="s">
        <v>21</v>
      </c>
      <c r="C326" s="2">
        <v>2024.0</v>
      </c>
      <c r="D326" s="4" t="str">
        <f t="shared" si="1"/>
        <v>TR-GE-2024</v>
      </c>
    </row>
    <row r="327">
      <c r="A327" s="2" t="s">
        <v>38</v>
      </c>
      <c r="B327" s="2" t="s">
        <v>13</v>
      </c>
      <c r="C327" s="2">
        <v>2014.0</v>
      </c>
      <c r="D327" s="4" t="str">
        <f t="shared" si="1"/>
        <v>TS-AE-2014</v>
      </c>
    </row>
    <row r="328">
      <c r="A328" s="2" t="s">
        <v>38</v>
      </c>
      <c r="B328" s="2" t="s">
        <v>13</v>
      </c>
      <c r="C328" s="2">
        <v>2018.0</v>
      </c>
      <c r="D328" s="4" t="str">
        <f t="shared" si="1"/>
        <v>TS-AE-2018</v>
      </c>
    </row>
    <row r="329">
      <c r="A329" s="2" t="s">
        <v>38</v>
      </c>
      <c r="B329" s="2" t="s">
        <v>13</v>
      </c>
      <c r="C329" s="2">
        <v>2023.0</v>
      </c>
      <c r="D329" s="4" t="str">
        <f t="shared" si="1"/>
        <v>TS-AE-2023</v>
      </c>
    </row>
    <row r="330">
      <c r="A330" s="2" t="s">
        <v>38</v>
      </c>
      <c r="B330" s="2" t="s">
        <v>18</v>
      </c>
      <c r="C330" s="2">
        <v>2008.0</v>
      </c>
      <c r="D330" s="4" t="str">
        <f t="shared" si="1"/>
        <v>TS-AE-BP-2008</v>
      </c>
    </row>
    <row r="331">
      <c r="A331" s="2" t="s">
        <v>38</v>
      </c>
      <c r="B331" s="2" t="s">
        <v>18</v>
      </c>
      <c r="C331" s="2">
        <v>2010.0</v>
      </c>
      <c r="D331" s="4" t="str">
        <f t="shared" si="1"/>
        <v>TS-AE-BP-2010</v>
      </c>
    </row>
    <row r="332">
      <c r="A332" s="2" t="s">
        <v>38</v>
      </c>
      <c r="B332" s="2" t="s">
        <v>18</v>
      </c>
      <c r="C332" s="2">
        <v>2011.0</v>
      </c>
      <c r="D332" s="4" t="str">
        <f t="shared" si="1"/>
        <v>TS-AE-BP-2011</v>
      </c>
    </row>
    <row r="333">
      <c r="A333" s="2" t="s">
        <v>38</v>
      </c>
      <c r="B333" s="2" t="s">
        <v>18</v>
      </c>
      <c r="C333" s="2">
        <v>2012.0</v>
      </c>
      <c r="D333" s="4" t="str">
        <f t="shared" si="1"/>
        <v>TS-AE-BP-2012</v>
      </c>
    </row>
    <row r="334">
      <c r="A334" s="2" t="s">
        <v>38</v>
      </c>
      <c r="B334" s="2" t="s">
        <v>18</v>
      </c>
      <c r="C334" s="2">
        <v>2016.0</v>
      </c>
      <c r="D334" s="4" t="str">
        <f t="shared" si="1"/>
        <v>TS-AE-BP-2016</v>
      </c>
    </row>
    <row r="335">
      <c r="A335" s="2" t="s">
        <v>38</v>
      </c>
      <c r="B335" s="2" t="s">
        <v>18</v>
      </c>
      <c r="C335" s="2">
        <v>2019.0</v>
      </c>
      <c r="D335" s="4" t="str">
        <f t="shared" si="1"/>
        <v>TS-AE-BP-2019</v>
      </c>
    </row>
    <row r="336">
      <c r="A336" s="2" t="s">
        <v>38</v>
      </c>
      <c r="B336" s="2" t="s">
        <v>18</v>
      </c>
      <c r="C336" s="2">
        <v>2020.0</v>
      </c>
      <c r="D336" s="4" t="str">
        <f t="shared" si="1"/>
        <v>TS-AE-BP-2020</v>
      </c>
    </row>
    <row r="337">
      <c r="A337" s="2" t="s">
        <v>38</v>
      </c>
      <c r="B337" s="2" t="s">
        <v>18</v>
      </c>
      <c r="C337" s="2">
        <v>2021.0</v>
      </c>
      <c r="D337" s="4" t="str">
        <f t="shared" si="1"/>
        <v>TS-AE-BP-2021</v>
      </c>
    </row>
    <row r="338">
      <c r="A338" s="2" t="s">
        <v>38</v>
      </c>
      <c r="B338" s="2" t="s">
        <v>18</v>
      </c>
      <c r="C338" s="2">
        <v>2022.0</v>
      </c>
      <c r="D338" s="4" t="str">
        <f t="shared" si="1"/>
        <v>TS-AE-BP-2022</v>
      </c>
    </row>
    <row r="339">
      <c r="A339" s="2" t="s">
        <v>38</v>
      </c>
      <c r="B339" s="2" t="s">
        <v>18</v>
      </c>
      <c r="C339" s="2">
        <v>2024.0</v>
      </c>
      <c r="D339" s="4" t="str">
        <f t="shared" si="1"/>
        <v>TS-AE-BP-2024</v>
      </c>
    </row>
    <row r="340">
      <c r="A340" s="2" t="s">
        <v>38</v>
      </c>
      <c r="B340" s="2" t="s">
        <v>21</v>
      </c>
      <c r="C340" s="2">
        <v>2009.0</v>
      </c>
      <c r="D340" s="4" t="str">
        <f t="shared" si="1"/>
        <v>TS-GE-2009</v>
      </c>
    </row>
    <row r="341">
      <c r="A341" s="2" t="s">
        <v>38</v>
      </c>
      <c r="B341" s="2" t="s">
        <v>21</v>
      </c>
      <c r="C341" s="2">
        <v>2014.0</v>
      </c>
      <c r="D341" s="4" t="str">
        <f t="shared" si="1"/>
        <v>TS-GE-2014</v>
      </c>
    </row>
    <row r="342">
      <c r="A342" s="2" t="s">
        <v>38</v>
      </c>
      <c r="B342" s="2" t="s">
        <v>21</v>
      </c>
      <c r="C342" s="2">
        <v>2019.0</v>
      </c>
      <c r="D342" s="4" t="str">
        <f t="shared" si="1"/>
        <v>TS-GE-2019</v>
      </c>
    </row>
    <row r="343">
      <c r="A343" s="2" t="s">
        <v>38</v>
      </c>
      <c r="B343" s="2" t="s">
        <v>21</v>
      </c>
      <c r="C343" s="2">
        <v>2024.0</v>
      </c>
      <c r="D343" s="4" t="str">
        <f t="shared" si="1"/>
        <v>TS-GE-2024</v>
      </c>
    </row>
    <row r="344">
      <c r="A344" s="2" t="s">
        <v>38</v>
      </c>
      <c r="B344" s="2" t="s">
        <v>22</v>
      </c>
      <c r="C344" s="2">
        <v>2008.0</v>
      </c>
      <c r="D344" s="4" t="str">
        <f t="shared" si="1"/>
        <v>TS-GE-BP-2008</v>
      </c>
    </row>
    <row r="345">
      <c r="A345" s="2" t="s">
        <v>38</v>
      </c>
      <c r="B345" s="2" t="s">
        <v>22</v>
      </c>
      <c r="C345" s="2">
        <v>2014.0</v>
      </c>
      <c r="D345" s="4" t="str">
        <f t="shared" si="1"/>
        <v>TS-GE-BP-2014</v>
      </c>
    </row>
    <row r="346">
      <c r="A346" s="2" t="s">
        <v>38</v>
      </c>
      <c r="B346" s="2" t="s">
        <v>22</v>
      </c>
      <c r="C346" s="2">
        <v>2015.0</v>
      </c>
      <c r="D346" s="4" t="str">
        <f t="shared" si="1"/>
        <v>TS-GE-BP-2015</v>
      </c>
    </row>
    <row r="347">
      <c r="A347" s="2" t="s">
        <v>50</v>
      </c>
      <c r="B347" s="2" t="s">
        <v>18</v>
      </c>
      <c r="C347" s="2">
        <v>2009.0</v>
      </c>
      <c r="D347" s="4" t="str">
        <f t="shared" si="1"/>
        <v>UK-AE-BP-2009</v>
      </c>
    </row>
    <row r="348">
      <c r="A348" s="2" t="s">
        <v>50</v>
      </c>
      <c r="B348" s="2" t="s">
        <v>18</v>
      </c>
      <c r="C348" s="2">
        <v>2012.0</v>
      </c>
      <c r="D348" s="4" t="str">
        <f t="shared" si="1"/>
        <v>UK-AE-BP-2012</v>
      </c>
    </row>
    <row r="349">
      <c r="A349" s="2" t="s">
        <v>50</v>
      </c>
      <c r="B349" s="2" t="s">
        <v>18</v>
      </c>
      <c r="C349" s="2">
        <v>2014.0</v>
      </c>
      <c r="D349" s="4" t="str">
        <f t="shared" si="1"/>
        <v>UK-AE-BP-2014</v>
      </c>
    </row>
    <row r="350">
      <c r="A350" s="2" t="s">
        <v>50</v>
      </c>
      <c r="B350" s="2" t="s">
        <v>18</v>
      </c>
      <c r="C350" s="2">
        <v>2015.0</v>
      </c>
      <c r="D350" s="4" t="str">
        <f t="shared" si="1"/>
        <v>UK-AE-BP-2015</v>
      </c>
    </row>
    <row r="351">
      <c r="A351" s="2" t="s">
        <v>50</v>
      </c>
      <c r="B351" s="2" t="s">
        <v>18</v>
      </c>
      <c r="C351" s="2">
        <v>2018.0</v>
      </c>
      <c r="D351" s="4" t="str">
        <f t="shared" si="1"/>
        <v>UK-AE-BP-2018</v>
      </c>
    </row>
    <row r="352">
      <c r="A352" s="2" t="s">
        <v>50</v>
      </c>
      <c r="B352" s="2" t="s">
        <v>18</v>
      </c>
      <c r="C352" s="2">
        <v>2019.0</v>
      </c>
      <c r="D352" s="4" t="str">
        <f t="shared" si="1"/>
        <v>UK-AE-BP-2019</v>
      </c>
    </row>
    <row r="353">
      <c r="A353" s="2" t="s">
        <v>50</v>
      </c>
      <c r="B353" s="2" t="s">
        <v>18</v>
      </c>
      <c r="C353" s="2">
        <v>2021.0</v>
      </c>
      <c r="D353" s="4" t="str">
        <f t="shared" si="1"/>
        <v>UK-AE-BP-2021</v>
      </c>
    </row>
    <row r="354">
      <c r="A354" s="2" t="s">
        <v>50</v>
      </c>
      <c r="B354" s="2" t="s">
        <v>18</v>
      </c>
      <c r="C354" s="2">
        <v>2022.0</v>
      </c>
      <c r="D354" s="4" t="str">
        <f t="shared" si="1"/>
        <v>UK-AE-BP-2022</v>
      </c>
    </row>
    <row r="355">
      <c r="A355" s="2" t="s">
        <v>50</v>
      </c>
      <c r="B355" s="2" t="s">
        <v>18</v>
      </c>
      <c r="C355" s="2">
        <v>2023.0</v>
      </c>
      <c r="D355" s="4" t="str">
        <f t="shared" si="1"/>
        <v>UK-AE-BP-2023</v>
      </c>
    </row>
    <row r="356">
      <c r="A356" s="2" t="s">
        <v>50</v>
      </c>
      <c r="B356" s="2" t="s">
        <v>18</v>
      </c>
      <c r="C356" s="2">
        <v>2024.0</v>
      </c>
      <c r="D356" s="4" t="str">
        <f t="shared" si="1"/>
        <v>UK-AE-BP-2024</v>
      </c>
    </row>
    <row r="357">
      <c r="A357" s="2" t="s">
        <v>50</v>
      </c>
      <c r="B357" s="2" t="s">
        <v>22</v>
      </c>
      <c r="C357" s="2">
        <v>2008.0</v>
      </c>
      <c r="D357" s="4" t="str">
        <f t="shared" si="1"/>
        <v>UK-GE-BP-2008</v>
      </c>
    </row>
    <row r="358">
      <c r="A358" s="2" t="s">
        <v>50</v>
      </c>
      <c r="B358" s="2" t="s">
        <v>22</v>
      </c>
      <c r="C358" s="2">
        <v>2012.0</v>
      </c>
      <c r="D358" s="4" t="str">
        <f t="shared" si="1"/>
        <v>UK-GE-BP-2012</v>
      </c>
    </row>
    <row r="359">
      <c r="A359" s="2" t="s">
        <v>51</v>
      </c>
      <c r="B359" s="2" t="s">
        <v>18</v>
      </c>
      <c r="C359" s="2">
        <v>2009.0</v>
      </c>
      <c r="D359" s="4" t="str">
        <f t="shared" si="1"/>
        <v>UP-AE-BP-2009</v>
      </c>
    </row>
    <row r="360">
      <c r="A360" s="2" t="s">
        <v>51</v>
      </c>
      <c r="B360" s="2" t="s">
        <v>18</v>
      </c>
      <c r="C360" s="2">
        <v>2010.0</v>
      </c>
      <c r="D360" s="4" t="str">
        <f t="shared" si="1"/>
        <v>UP-AE-BP-2010</v>
      </c>
    </row>
    <row r="361">
      <c r="A361" s="2" t="s">
        <v>51</v>
      </c>
      <c r="B361" s="2" t="s">
        <v>18</v>
      </c>
      <c r="C361" s="2">
        <v>2011.0</v>
      </c>
      <c r="D361" s="4" t="str">
        <f t="shared" si="1"/>
        <v>UP-AE-BP-2011</v>
      </c>
    </row>
    <row r="362">
      <c r="A362" s="2" t="s">
        <v>51</v>
      </c>
      <c r="B362" s="2" t="s">
        <v>18</v>
      </c>
      <c r="C362" s="2">
        <v>2013.0</v>
      </c>
      <c r="D362" s="4" t="str">
        <f t="shared" si="1"/>
        <v>UP-AE-BP-2013</v>
      </c>
    </row>
    <row r="363">
      <c r="A363" s="2" t="s">
        <v>51</v>
      </c>
      <c r="B363" s="2" t="s">
        <v>18</v>
      </c>
      <c r="C363" s="2">
        <v>2014.0</v>
      </c>
      <c r="D363" s="4" t="str">
        <f t="shared" si="1"/>
        <v>UP-AE-BP-2014</v>
      </c>
    </row>
    <row r="364">
      <c r="A364" s="2" t="s">
        <v>51</v>
      </c>
      <c r="B364" s="2" t="s">
        <v>18</v>
      </c>
      <c r="C364" s="2">
        <v>2015.0</v>
      </c>
      <c r="D364" s="4" t="str">
        <f t="shared" si="1"/>
        <v>UP-AE-BP-2015</v>
      </c>
    </row>
    <row r="365">
      <c r="A365" s="2" t="s">
        <v>51</v>
      </c>
      <c r="B365" s="2" t="s">
        <v>18</v>
      </c>
      <c r="C365" s="2">
        <v>2016.0</v>
      </c>
      <c r="D365" s="4" t="str">
        <f t="shared" si="1"/>
        <v>UP-AE-BP-2016</v>
      </c>
    </row>
    <row r="366">
      <c r="A366" s="2" t="s">
        <v>51</v>
      </c>
      <c r="B366" s="2" t="s">
        <v>18</v>
      </c>
      <c r="C366" s="2">
        <v>2017.0</v>
      </c>
      <c r="D366" s="4" t="str">
        <f t="shared" si="1"/>
        <v>UP-AE-BP-2017</v>
      </c>
    </row>
    <row r="367">
      <c r="A367" s="2" t="s">
        <v>51</v>
      </c>
      <c r="B367" s="2" t="s">
        <v>18</v>
      </c>
      <c r="C367" s="2">
        <v>2018.0</v>
      </c>
      <c r="D367" s="4" t="str">
        <f t="shared" si="1"/>
        <v>UP-AE-BP-2018</v>
      </c>
    </row>
    <row r="368">
      <c r="A368" s="2" t="s">
        <v>51</v>
      </c>
      <c r="B368" s="2" t="s">
        <v>18</v>
      </c>
      <c r="C368" s="2">
        <v>2019.0</v>
      </c>
      <c r="D368" s="4" t="str">
        <f t="shared" si="1"/>
        <v>UP-AE-BP-2019</v>
      </c>
    </row>
    <row r="369">
      <c r="A369" s="2" t="s">
        <v>51</v>
      </c>
      <c r="B369" s="2" t="s">
        <v>18</v>
      </c>
      <c r="C369" s="2">
        <v>2020.0</v>
      </c>
      <c r="D369" s="4" t="str">
        <f t="shared" si="1"/>
        <v>UP-AE-BP-2020</v>
      </c>
    </row>
    <row r="370">
      <c r="A370" s="2" t="s">
        <v>51</v>
      </c>
      <c r="B370" s="2" t="s">
        <v>18</v>
      </c>
      <c r="C370" s="2">
        <v>2021.0</v>
      </c>
      <c r="D370" s="4" t="str">
        <f t="shared" si="1"/>
        <v>UP-AE-BP-2021</v>
      </c>
    </row>
    <row r="371">
      <c r="A371" s="2" t="s">
        <v>51</v>
      </c>
      <c r="B371" s="2" t="s">
        <v>18</v>
      </c>
      <c r="C371" s="2">
        <v>2022.0</v>
      </c>
      <c r="D371" s="4" t="str">
        <f t="shared" si="1"/>
        <v>UP-AE-BP-2022</v>
      </c>
    </row>
    <row r="372">
      <c r="A372" s="2" t="s">
        <v>51</v>
      </c>
      <c r="B372" s="2" t="s">
        <v>18</v>
      </c>
      <c r="C372" s="2">
        <v>2023.0</v>
      </c>
      <c r="D372" s="4" t="str">
        <f t="shared" si="1"/>
        <v>UP-AE-BP-2023</v>
      </c>
    </row>
    <row r="373">
      <c r="A373" s="2" t="s">
        <v>51</v>
      </c>
      <c r="B373" s="2" t="s">
        <v>18</v>
      </c>
      <c r="C373" s="2">
        <v>2024.0</v>
      </c>
      <c r="D373" s="4" t="str">
        <f t="shared" si="1"/>
        <v>UP-AE-BP-2024</v>
      </c>
    </row>
    <row r="374">
      <c r="A374" s="2" t="s">
        <v>51</v>
      </c>
      <c r="B374" s="2" t="s">
        <v>18</v>
      </c>
      <c r="C374" s="2">
        <v>2025.0</v>
      </c>
      <c r="D374" s="4" t="str">
        <f t="shared" si="1"/>
        <v>UP-AE-BP-2025</v>
      </c>
    </row>
    <row r="375">
      <c r="A375" s="2" t="s">
        <v>51</v>
      </c>
      <c r="B375" s="2" t="s">
        <v>22</v>
      </c>
      <c r="C375" s="2">
        <v>2012.0</v>
      </c>
      <c r="D375" s="4" t="str">
        <f t="shared" si="1"/>
        <v>UP-GE-BP-2012</v>
      </c>
    </row>
    <row r="376">
      <c r="A376" s="2" t="s">
        <v>51</v>
      </c>
      <c r="B376" s="2" t="s">
        <v>22</v>
      </c>
      <c r="C376" s="2">
        <v>2014.0</v>
      </c>
      <c r="D376" s="4" t="str">
        <f t="shared" si="1"/>
        <v>UP-GE-BP-2014</v>
      </c>
    </row>
    <row r="377">
      <c r="A377" s="2" t="s">
        <v>51</v>
      </c>
      <c r="B377" s="2" t="s">
        <v>22</v>
      </c>
      <c r="C377" s="2">
        <v>2018.0</v>
      </c>
      <c r="D377" s="4" t="str">
        <f t="shared" si="1"/>
        <v>UP-GE-BP-2018</v>
      </c>
    </row>
    <row r="378">
      <c r="A378" s="2" t="s">
        <v>51</v>
      </c>
      <c r="B378" s="2" t="s">
        <v>22</v>
      </c>
      <c r="C378" s="2">
        <v>2021.0</v>
      </c>
      <c r="D378" s="4" t="str">
        <f t="shared" si="1"/>
        <v>UP-GE-BP-2021</v>
      </c>
    </row>
    <row r="379">
      <c r="A379" s="2" t="s">
        <v>39</v>
      </c>
      <c r="B379" s="2" t="s">
        <v>13</v>
      </c>
      <c r="C379" s="2">
        <v>2011.0</v>
      </c>
      <c r="D379" s="4" t="str">
        <f t="shared" si="1"/>
        <v>WB-AE-2011</v>
      </c>
    </row>
    <row r="380">
      <c r="A380" s="2" t="s">
        <v>39</v>
      </c>
      <c r="B380" s="2" t="s">
        <v>13</v>
      </c>
      <c r="C380" s="2">
        <v>2016.0</v>
      </c>
      <c r="D380" s="4" t="str">
        <f t="shared" si="1"/>
        <v>WB-AE-2016</v>
      </c>
    </row>
    <row r="381">
      <c r="A381" s="2" t="s">
        <v>39</v>
      </c>
      <c r="B381" s="2" t="s">
        <v>18</v>
      </c>
      <c r="C381" s="2">
        <v>2009.0</v>
      </c>
      <c r="D381" s="4" t="str">
        <f t="shared" si="1"/>
        <v>WB-AE-BP-2009</v>
      </c>
    </row>
    <row r="382">
      <c r="A382" s="2" t="s">
        <v>39</v>
      </c>
      <c r="B382" s="2" t="s">
        <v>18</v>
      </c>
      <c r="C382" s="2">
        <v>2010.0</v>
      </c>
      <c r="D382" s="4" t="str">
        <f t="shared" si="1"/>
        <v>WB-AE-BP-2010</v>
      </c>
    </row>
    <row r="383">
      <c r="A383" s="2" t="s">
        <v>39</v>
      </c>
      <c r="B383" s="2" t="s">
        <v>18</v>
      </c>
      <c r="C383" s="2">
        <v>2011.0</v>
      </c>
      <c r="D383" s="4" t="str">
        <f t="shared" si="1"/>
        <v>WB-AE-BP-2011</v>
      </c>
    </row>
    <row r="384">
      <c r="A384" s="2" t="s">
        <v>39</v>
      </c>
      <c r="B384" s="2" t="s">
        <v>18</v>
      </c>
      <c r="C384" s="2">
        <v>2012.0</v>
      </c>
      <c r="D384" s="4" t="str">
        <f t="shared" si="1"/>
        <v>WB-AE-BP-2012</v>
      </c>
    </row>
    <row r="385">
      <c r="A385" s="2" t="s">
        <v>39</v>
      </c>
      <c r="B385" s="2" t="s">
        <v>18</v>
      </c>
      <c r="C385" s="2">
        <v>2016.0</v>
      </c>
      <c r="D385" s="4" t="str">
        <f t="shared" si="1"/>
        <v>WB-AE-BP-2016</v>
      </c>
    </row>
    <row r="386">
      <c r="A386" s="2" t="s">
        <v>39</v>
      </c>
      <c r="B386" s="2" t="s">
        <v>18</v>
      </c>
      <c r="C386" s="2">
        <v>2017.0</v>
      </c>
      <c r="D386" s="4" t="str">
        <f t="shared" si="1"/>
        <v>WB-AE-BP-2017</v>
      </c>
    </row>
    <row r="387">
      <c r="A387" s="2" t="s">
        <v>39</v>
      </c>
      <c r="B387" s="2" t="s">
        <v>18</v>
      </c>
      <c r="C387" s="2">
        <v>2018.0</v>
      </c>
      <c r="D387" s="4" t="str">
        <f t="shared" si="1"/>
        <v>WB-AE-BP-2018</v>
      </c>
    </row>
    <row r="388">
      <c r="A388" s="2" t="s">
        <v>39</v>
      </c>
      <c r="B388" s="2" t="s">
        <v>18</v>
      </c>
      <c r="C388" s="2">
        <v>2022.0</v>
      </c>
      <c r="D388" s="4" t="str">
        <f t="shared" si="1"/>
        <v>WB-AE-BP-2022</v>
      </c>
    </row>
    <row r="389">
      <c r="A389" s="2" t="s">
        <v>39</v>
      </c>
      <c r="B389" s="2" t="s">
        <v>18</v>
      </c>
      <c r="C389" s="2">
        <v>2023.0</v>
      </c>
      <c r="D389" s="4" t="str">
        <f t="shared" si="1"/>
        <v>WB-AE-BP-2023</v>
      </c>
    </row>
    <row r="390">
      <c r="A390" s="2" t="s">
        <v>39</v>
      </c>
      <c r="B390" s="2" t="s">
        <v>18</v>
      </c>
      <c r="C390" s="2">
        <v>2024.0</v>
      </c>
      <c r="D390" s="4" t="str">
        <f t="shared" si="1"/>
        <v>WB-AE-BP-2024</v>
      </c>
    </row>
    <row r="391">
      <c r="A391" s="2" t="s">
        <v>39</v>
      </c>
      <c r="B391" s="2" t="s">
        <v>18</v>
      </c>
      <c r="C391" s="2">
        <v>2025.0</v>
      </c>
      <c r="D391" s="4" t="str">
        <f t="shared" si="1"/>
        <v>WB-AE-BP-2025</v>
      </c>
    </row>
    <row r="392">
      <c r="A392" s="2" t="s">
        <v>39</v>
      </c>
      <c r="B392" s="2" t="s">
        <v>22</v>
      </c>
      <c r="C392" s="2">
        <v>2011.0</v>
      </c>
      <c r="D392" s="4" t="str">
        <f t="shared" si="1"/>
        <v>WB-GE-BP-2011</v>
      </c>
    </row>
    <row r="393">
      <c r="A393" s="2" t="s">
        <v>39</v>
      </c>
      <c r="B393" s="2" t="s">
        <v>22</v>
      </c>
      <c r="C393" s="2">
        <v>2013.0</v>
      </c>
      <c r="D393" s="4" t="str">
        <f t="shared" si="1"/>
        <v>WB-GE-BP-2013</v>
      </c>
    </row>
    <row r="394">
      <c r="A394" s="2" t="s">
        <v>39</v>
      </c>
      <c r="B394" s="2" t="s">
        <v>22</v>
      </c>
      <c r="C394" s="2">
        <v>2016.0</v>
      </c>
      <c r="D394" s="4" t="str">
        <f t="shared" si="1"/>
        <v>WB-GE-BP-2016</v>
      </c>
    </row>
    <row r="395">
      <c r="A395" s="2" t="s">
        <v>39</v>
      </c>
      <c r="B395" s="2" t="s">
        <v>22</v>
      </c>
      <c r="C395" s="2">
        <v>2018.0</v>
      </c>
      <c r="D395" s="4" t="str">
        <f t="shared" si="1"/>
        <v>WB-GE-BP-2018</v>
      </c>
    </row>
    <row r="396">
      <c r="A396" s="2" t="s">
        <v>39</v>
      </c>
      <c r="B396" s="2" t="s">
        <v>22</v>
      </c>
      <c r="C396" s="2">
        <v>2022.0</v>
      </c>
      <c r="D396" s="4" t="str">
        <f t="shared" si="1"/>
        <v>WB-GE-BP-2022</v>
      </c>
    </row>
    <row r="397">
      <c r="D397" s="4" t="str">
        <f t="shared" si="1"/>
        <v>--</v>
      </c>
    </row>
    <row r="398">
      <c r="D398" s="4" t="str">
        <f t="shared" si="1"/>
        <v>--</v>
      </c>
    </row>
    <row r="399">
      <c r="D399" s="4" t="str">
        <f t="shared" si="1"/>
        <v>--</v>
      </c>
    </row>
    <row r="400">
      <c r="D400" s="4" t="str">
        <f t="shared" si="1"/>
        <v>--</v>
      </c>
    </row>
    <row r="401">
      <c r="D401" s="4" t="str">
        <f t="shared" si="1"/>
        <v>--</v>
      </c>
    </row>
    <row r="402">
      <c r="D402" s="4" t="str">
        <f t="shared" si="1"/>
        <v>--</v>
      </c>
    </row>
    <row r="403">
      <c r="D403" s="4" t="str">
        <f t="shared" si="1"/>
        <v>--</v>
      </c>
    </row>
    <row r="404">
      <c r="D404" s="4" t="str">
        <f t="shared" si="1"/>
        <v>--</v>
      </c>
    </row>
    <row r="405">
      <c r="D405" s="4" t="str">
        <f t="shared" si="1"/>
        <v>--</v>
      </c>
    </row>
    <row r="406">
      <c r="D406" s="4" t="str">
        <f t="shared" si="1"/>
        <v>--</v>
      </c>
    </row>
    <row r="407">
      <c r="D407" s="4" t="str">
        <f t="shared" si="1"/>
        <v>--</v>
      </c>
    </row>
    <row r="408">
      <c r="D408" s="4" t="str">
        <f t="shared" si="1"/>
        <v>--</v>
      </c>
    </row>
    <row r="409">
      <c r="D409" s="4" t="str">
        <f t="shared" si="1"/>
        <v>--</v>
      </c>
    </row>
    <row r="410">
      <c r="D410" s="4" t="str">
        <f t="shared" si="1"/>
        <v>--</v>
      </c>
    </row>
    <row r="411">
      <c r="D411" s="4" t="str">
        <f t="shared" si="1"/>
        <v>--</v>
      </c>
    </row>
    <row r="412">
      <c r="D412" s="4" t="str">
        <f t="shared" si="1"/>
        <v>--</v>
      </c>
    </row>
    <row r="413">
      <c r="D413" s="4" t="str">
        <f t="shared" si="1"/>
        <v>--</v>
      </c>
    </row>
    <row r="414">
      <c r="D414" s="4" t="str">
        <f t="shared" si="1"/>
        <v>--</v>
      </c>
    </row>
    <row r="415">
      <c r="D415" s="4" t="str">
        <f t="shared" si="1"/>
        <v>--</v>
      </c>
    </row>
    <row r="416">
      <c r="D416" s="4" t="str">
        <f t="shared" si="1"/>
        <v>--</v>
      </c>
    </row>
    <row r="417">
      <c r="D417" s="4" t="str">
        <f t="shared" si="1"/>
        <v>--</v>
      </c>
    </row>
    <row r="418">
      <c r="D418" s="4" t="str">
        <f t="shared" si="1"/>
        <v>--</v>
      </c>
    </row>
    <row r="419">
      <c r="D419" s="4" t="str">
        <f t="shared" si="1"/>
        <v>--</v>
      </c>
    </row>
    <row r="420">
      <c r="D420" s="4" t="str">
        <f t="shared" si="1"/>
        <v>--</v>
      </c>
    </row>
    <row r="421">
      <c r="D421" s="4" t="str">
        <f t="shared" si="1"/>
        <v>--</v>
      </c>
    </row>
    <row r="422">
      <c r="D422" s="4" t="str">
        <f t="shared" si="1"/>
        <v>--</v>
      </c>
    </row>
    <row r="423">
      <c r="D423" s="4" t="str">
        <f t="shared" si="1"/>
        <v>--</v>
      </c>
    </row>
    <row r="424">
      <c r="D424" s="4" t="str">
        <f t="shared" si="1"/>
        <v>--</v>
      </c>
    </row>
    <row r="425">
      <c r="D425" s="4" t="str">
        <f t="shared" si="1"/>
        <v>--</v>
      </c>
    </row>
    <row r="426">
      <c r="D426" s="4" t="str">
        <f t="shared" si="1"/>
        <v>--</v>
      </c>
    </row>
    <row r="427">
      <c r="D427" s="4" t="str">
        <f t="shared" si="1"/>
        <v>--</v>
      </c>
    </row>
    <row r="428">
      <c r="D428" s="4" t="str">
        <f t="shared" si="1"/>
        <v>--</v>
      </c>
    </row>
    <row r="429">
      <c r="D429" s="4" t="str">
        <f t="shared" si="1"/>
        <v>--</v>
      </c>
    </row>
    <row r="430">
      <c r="D430" s="4" t="str">
        <f t="shared" si="1"/>
        <v>--</v>
      </c>
    </row>
    <row r="431">
      <c r="D431" s="4" t="str">
        <f t="shared" si="1"/>
        <v>--</v>
      </c>
    </row>
    <row r="432">
      <c r="D432" s="4" t="str">
        <f t="shared" si="1"/>
        <v>--</v>
      </c>
    </row>
    <row r="433">
      <c r="D433" s="4" t="str">
        <f t="shared" si="1"/>
        <v>--</v>
      </c>
    </row>
    <row r="434">
      <c r="D434" s="4" t="str">
        <f t="shared" si="1"/>
        <v>--</v>
      </c>
    </row>
    <row r="435">
      <c r="D435" s="4" t="str">
        <f t="shared" si="1"/>
        <v>--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65</v>
      </c>
    </row>
    <row r="2">
      <c r="A2" s="20" t="s">
        <v>17</v>
      </c>
    </row>
    <row r="3">
      <c r="A3" s="20" t="s">
        <v>64</v>
      </c>
    </row>
    <row r="4">
      <c r="A4" s="20" t="s">
        <v>41</v>
      </c>
    </row>
    <row r="5">
      <c r="A5" s="20" t="s">
        <v>40</v>
      </c>
    </row>
    <row r="6">
      <c r="A6" s="20" t="s">
        <v>14</v>
      </c>
    </row>
    <row r="7">
      <c r="A7" s="20" t="s">
        <v>30</v>
      </c>
    </row>
    <row r="8">
      <c r="A8" s="20" t="s">
        <v>42</v>
      </c>
    </row>
    <row r="9">
      <c r="A9" s="20" t="s">
        <v>31</v>
      </c>
    </row>
    <row r="10">
      <c r="A10" s="20" t="s">
        <v>44</v>
      </c>
    </row>
    <row r="11">
      <c r="A11" s="20" t="s">
        <v>45</v>
      </c>
    </row>
    <row r="12">
      <c r="A12" s="20" t="s">
        <v>46</v>
      </c>
    </row>
    <row r="13">
      <c r="A13" s="20" t="s">
        <v>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36.25"/>
    <col customWidth="1" min="4" max="4" width="48.0"/>
  </cols>
  <sheetData>
    <row r="1">
      <c r="A1" s="21" t="s">
        <v>66</v>
      </c>
      <c r="B1" s="21" t="s">
        <v>55</v>
      </c>
      <c r="C1" s="21" t="s">
        <v>56</v>
      </c>
      <c r="D1" s="21" t="s">
        <v>57</v>
      </c>
      <c r="E1" s="22"/>
      <c r="F1" s="22"/>
    </row>
    <row r="2">
      <c r="A2" s="23" t="s">
        <v>17</v>
      </c>
      <c r="B2" s="23" t="s">
        <v>13</v>
      </c>
      <c r="C2" s="23">
        <v>2024.0</v>
      </c>
      <c r="D2" s="24" t="s">
        <v>67</v>
      </c>
      <c r="E2" s="22" t="s">
        <v>68</v>
      </c>
      <c r="F2" s="22" t="s">
        <v>69</v>
      </c>
    </row>
    <row r="3">
      <c r="A3" s="25" t="s">
        <v>41</v>
      </c>
      <c r="B3" s="25" t="s">
        <v>13</v>
      </c>
      <c r="C3" s="25">
        <v>2024.0</v>
      </c>
      <c r="D3" s="24" t="s">
        <v>67</v>
      </c>
      <c r="E3" s="22" t="s">
        <v>70</v>
      </c>
      <c r="F3" s="22" t="s">
        <v>71</v>
      </c>
    </row>
    <row r="4">
      <c r="A4" s="26" t="s">
        <v>40</v>
      </c>
      <c r="B4" s="26" t="s">
        <v>13</v>
      </c>
      <c r="C4" s="26">
        <v>2022.0</v>
      </c>
      <c r="D4" s="27" t="s">
        <v>72</v>
      </c>
      <c r="E4" s="22"/>
      <c r="F4" s="22"/>
    </row>
    <row r="5">
      <c r="A5" s="28" t="s">
        <v>14</v>
      </c>
      <c r="B5" s="28" t="s">
        <v>13</v>
      </c>
      <c r="C5" s="28">
        <v>2024.0</v>
      </c>
      <c r="D5" s="24" t="s">
        <v>67</v>
      </c>
      <c r="E5" s="22"/>
      <c r="F5" s="22"/>
    </row>
    <row r="6">
      <c r="A6" s="25" t="s">
        <v>42</v>
      </c>
      <c r="B6" s="25" t="s">
        <v>13</v>
      </c>
      <c r="C6" s="25">
        <v>2023.0</v>
      </c>
      <c r="D6" s="24" t="s">
        <v>67</v>
      </c>
      <c r="E6" s="22" t="s">
        <v>73</v>
      </c>
      <c r="F6" s="22" t="s">
        <v>71</v>
      </c>
    </row>
    <row r="7">
      <c r="A7" s="26" t="s">
        <v>44</v>
      </c>
      <c r="B7" s="26" t="s">
        <v>13</v>
      </c>
      <c r="C7" s="26">
        <v>2024.0</v>
      </c>
      <c r="D7" s="27" t="s">
        <v>72</v>
      </c>
      <c r="E7" s="22"/>
      <c r="F7" s="22"/>
    </row>
    <row r="8">
      <c r="A8" s="26" t="s">
        <v>45</v>
      </c>
      <c r="B8" s="26" t="s">
        <v>13</v>
      </c>
      <c r="C8" s="26">
        <v>2024.0</v>
      </c>
      <c r="D8" s="27" t="s">
        <v>72</v>
      </c>
      <c r="E8" s="22"/>
      <c r="F8" s="22"/>
    </row>
    <row r="9">
      <c r="A9" s="26" t="s">
        <v>46</v>
      </c>
      <c r="B9" s="26" t="s">
        <v>13</v>
      </c>
      <c r="C9" s="26">
        <v>2022.0</v>
      </c>
      <c r="D9" s="27" t="s">
        <v>72</v>
      </c>
      <c r="E9" s="22"/>
      <c r="F9" s="22"/>
    </row>
    <row r="10">
      <c r="A10" s="26" t="s">
        <v>50</v>
      </c>
      <c r="B10" s="26" t="s">
        <v>13</v>
      </c>
      <c r="C10" s="26">
        <v>2022.0</v>
      </c>
      <c r="D10" s="27" t="s">
        <v>72</v>
      </c>
      <c r="E10" s="22"/>
      <c r="F10" s="22"/>
    </row>
    <row r="11">
      <c r="A11" s="23" t="s">
        <v>17</v>
      </c>
      <c r="B11" s="23" t="s">
        <v>21</v>
      </c>
      <c r="C11" s="23">
        <v>2024.0</v>
      </c>
      <c r="D11" s="24" t="s">
        <v>67</v>
      </c>
      <c r="E11" s="22" t="s">
        <v>73</v>
      </c>
      <c r="F11" s="29" t="s">
        <v>74</v>
      </c>
    </row>
    <row r="12">
      <c r="A12" s="23" t="s">
        <v>64</v>
      </c>
      <c r="B12" s="23" t="s">
        <v>21</v>
      </c>
      <c r="C12" s="23">
        <v>2024.0</v>
      </c>
      <c r="D12" s="27" t="s">
        <v>72</v>
      </c>
      <c r="E12" s="22" t="s">
        <v>73</v>
      </c>
      <c r="F12" s="22"/>
    </row>
    <row r="13">
      <c r="A13" s="26" t="s">
        <v>41</v>
      </c>
      <c r="B13" s="26" t="s">
        <v>21</v>
      </c>
      <c r="C13" s="26">
        <v>2024.0</v>
      </c>
      <c r="D13" s="27" t="s">
        <v>72</v>
      </c>
      <c r="E13" s="22"/>
      <c r="F13" s="22"/>
    </row>
    <row r="14">
      <c r="A14" s="26" t="s">
        <v>40</v>
      </c>
      <c r="B14" s="26" t="s">
        <v>21</v>
      </c>
      <c r="C14" s="26">
        <v>2024.0</v>
      </c>
      <c r="D14" s="27" t="s">
        <v>72</v>
      </c>
      <c r="E14" s="22"/>
      <c r="F14" s="22"/>
    </row>
    <row r="15">
      <c r="A15" s="26" t="s">
        <v>14</v>
      </c>
      <c r="B15" s="26" t="s">
        <v>21</v>
      </c>
      <c r="C15" s="26">
        <v>2024.0</v>
      </c>
      <c r="D15" s="27" t="s">
        <v>72</v>
      </c>
      <c r="E15" s="22"/>
      <c r="F15" s="22"/>
    </row>
    <row r="16">
      <c r="A16" s="26" t="s">
        <v>42</v>
      </c>
      <c r="B16" s="26" t="s">
        <v>21</v>
      </c>
      <c r="C16" s="26">
        <v>2024.0</v>
      </c>
      <c r="D16" s="27" t="s">
        <v>72</v>
      </c>
      <c r="E16" s="22"/>
      <c r="F16" s="22"/>
    </row>
    <row r="17">
      <c r="A17" s="26" t="s">
        <v>31</v>
      </c>
      <c r="B17" s="26" t="s">
        <v>21</v>
      </c>
      <c r="C17" s="26">
        <v>2024.0</v>
      </c>
      <c r="D17" s="27" t="s">
        <v>72</v>
      </c>
      <c r="E17" s="22"/>
      <c r="F17" s="22"/>
    </row>
    <row r="18">
      <c r="A18" s="26" t="s">
        <v>44</v>
      </c>
      <c r="B18" s="26" t="s">
        <v>21</v>
      </c>
      <c r="C18" s="26">
        <v>2024.0</v>
      </c>
      <c r="D18" s="27" t="s">
        <v>72</v>
      </c>
      <c r="E18" s="22"/>
      <c r="F18" s="22"/>
    </row>
    <row r="19">
      <c r="A19" s="23" t="s">
        <v>45</v>
      </c>
      <c r="B19" s="23" t="s">
        <v>21</v>
      </c>
      <c r="C19" s="23">
        <v>2024.0</v>
      </c>
      <c r="D19" s="24" t="s">
        <v>67</v>
      </c>
      <c r="E19" s="22" t="s">
        <v>75</v>
      </c>
      <c r="F19" s="29" t="s">
        <v>76</v>
      </c>
    </row>
    <row r="20">
      <c r="A20" s="26" t="s">
        <v>46</v>
      </c>
      <c r="B20" s="26" t="s">
        <v>21</v>
      </c>
      <c r="C20" s="26">
        <v>2024.0</v>
      </c>
      <c r="D20" s="27" t="s">
        <v>72</v>
      </c>
      <c r="E20" s="22"/>
      <c r="F20" s="22"/>
    </row>
    <row r="21">
      <c r="A21" s="26" t="s">
        <v>50</v>
      </c>
      <c r="B21" s="26" t="s">
        <v>21</v>
      </c>
      <c r="C21" s="26">
        <v>2024.0</v>
      </c>
      <c r="D21" s="27" t="s">
        <v>72</v>
      </c>
      <c r="E21" s="22"/>
      <c r="F21" s="22"/>
    </row>
    <row r="22">
      <c r="A22" s="26" t="s">
        <v>30</v>
      </c>
      <c r="B22" s="26" t="s">
        <v>13</v>
      </c>
      <c r="C22" s="26">
        <v>2024.0</v>
      </c>
      <c r="D22" s="27" t="s">
        <v>72</v>
      </c>
      <c r="E22" s="22"/>
      <c r="F22" s="22"/>
    </row>
    <row r="23">
      <c r="A23" s="26" t="s">
        <v>30</v>
      </c>
      <c r="B23" s="26" t="s">
        <v>21</v>
      </c>
      <c r="C23" s="26">
        <v>2024.0</v>
      </c>
      <c r="D23" s="27" t="s">
        <v>72</v>
      </c>
      <c r="E23" s="22"/>
      <c r="F23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77</v>
      </c>
    </row>
    <row r="2">
      <c r="A2" s="30" t="s">
        <v>78</v>
      </c>
    </row>
    <row r="3">
      <c r="A3" s="31" t="s">
        <v>79</v>
      </c>
    </row>
    <row r="4">
      <c r="A4" s="31" t="s">
        <v>80</v>
      </c>
    </row>
    <row r="5">
      <c r="A5" s="31" t="s">
        <v>81</v>
      </c>
    </row>
    <row r="6">
      <c r="A6" s="31" t="s">
        <v>82</v>
      </c>
    </row>
    <row r="7">
      <c r="A7" s="31" t="s">
        <v>83</v>
      </c>
    </row>
    <row r="8">
      <c r="A8" s="32" t="s">
        <v>84</v>
      </c>
    </row>
    <row r="9">
      <c r="A9" s="31" t="s">
        <v>85</v>
      </c>
    </row>
    <row r="10">
      <c r="A10" s="33"/>
    </row>
    <row r="11">
      <c r="A11" s="34" t="s">
        <v>86</v>
      </c>
    </row>
    <row r="12">
      <c r="A12" s="35" t="s">
        <v>87</v>
      </c>
    </row>
    <row r="13">
      <c r="A13" s="35" t="s">
        <v>88</v>
      </c>
    </row>
    <row r="14">
      <c r="A14" s="35" t="s">
        <v>89</v>
      </c>
    </row>
    <row r="15">
      <c r="A15" s="35" t="s">
        <v>90</v>
      </c>
    </row>
    <row r="16">
      <c r="A16" s="36"/>
    </row>
    <row r="17">
      <c r="A17" s="37" t="s">
        <v>91</v>
      </c>
    </row>
    <row r="18">
      <c r="A18" s="35" t="s">
        <v>92</v>
      </c>
    </row>
    <row r="19">
      <c r="A19" s="34" t="s">
        <v>93</v>
      </c>
    </row>
    <row r="20">
      <c r="A20" s="35" t="s">
        <v>94</v>
      </c>
    </row>
  </sheetData>
  <drawing r:id="rId1"/>
</worksheet>
</file>